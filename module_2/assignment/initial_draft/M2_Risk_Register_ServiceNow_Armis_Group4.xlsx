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lawrence/Documents/lawrence/neu/documents/ALY6130/Module 2/assignment_2/"/>
    </mc:Choice>
  </mc:AlternateContent>
  <xr:revisionPtr revIDLastSave="0" documentId="13_ncr:1_{F6639422-B1E5-3845-B843-11A44B1DEB66}" xr6:coauthVersionLast="47" xr6:coauthVersionMax="47" xr10:uidLastSave="{00000000-0000-0000-0000-000000000000}"/>
  <bookViews>
    <workbookView xWindow="0" yWindow="660" windowWidth="34560" windowHeight="21680" tabRatio="500" activeTab="2" xr2:uid="{00000000-000D-0000-FFFF-FFFF00000000}"/>
  </bookViews>
  <sheets>
    <sheet name="Problem Statement" sheetId="1" r:id="rId1"/>
    <sheet name="KRI Framework" sheetId="2" r:id="rId2"/>
    <sheet name="RiskCalculationSheet" sheetId="3" r:id="rId3"/>
    <sheet name="RiskRegister" sheetId="4" r:id="rId4"/>
    <sheet name="Heatmap" sheetId="5" r:id="rId5"/>
  </sheets>
  <definedNames>
    <definedName name="_xlnm._FilterDatabase" localSheetId="3" hidden="1">RiskRegister!$A$1:$M$4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4" l="1"/>
  <c r="I3" i="4"/>
  <c r="I2" i="4"/>
</calcChain>
</file>

<file path=xl/sharedStrings.xml><?xml version="1.0" encoding="utf-8"?>
<sst xmlns="http://schemas.openxmlformats.org/spreadsheetml/2006/main" count="218" uniqueCount="198">
  <si>
    <t>Problem Statement: Competitive Risks for ServiceNow's Acquisition of Armis</t>
  </si>
  <si>
    <t>Company: ServiceNow (NYSE: NOW) | Scenario: Strategic Expansion via $7.75B Acquisition of Armis</t>
  </si>
  <si>
    <t>Industry: Enterprise Cybersecurity / OT-IoT Security</t>
  </si>
  <si>
    <t>Risk #</t>
  </si>
  <si>
    <t>Risk Type</t>
  </si>
  <si>
    <t>Competitive Pressure (from SWOT)</t>
  </si>
  <si>
    <t>Problem Statement</t>
  </si>
  <si>
    <t>Why Monitoring Is Required Now</t>
  </si>
  <si>
    <t>SWOT Source</t>
  </si>
  <si>
    <t>Negative (Strategic)</t>
  </si>
  <si>
    <t>Intensifying competition from well-funded rival mega-acquisitions creating integrated security platforms (Google/Wiz at $32B, Palo Alto Networks/CyberArk at $25B, Cisco/Splunk at $28B) with direct OT/IoT capabilities.</t>
  </si>
  <si>
    <t>Three competing acquisitions exceeding $7B each closed or advanced in 2025, creating integrated cybersecurity platforms that directly overlap with ServiceNow-Armis in OT/IoT security. Palo Alto Networks is already rated by Forrester as having the most comprehensive OT security solution. These rivals have deeper cybersecurity DNA and established security operations install bases. ServiceNow must prove its workflow-centric approach can outcompete purpose-built security platforms while simultaneously integrating Armis.</t>
  </si>
  <si>
    <t>All three competing acquisitions closed or advanced significantly in 2025, and customers are making vendor consolidation decisions now. ServiceNow's integration timeline extends into late 2026, creating a window where competitors can capture market share before the combined platform is fully operational. Early competitive losses during integration would undermine the $7.75B investment thesis.</t>
  </si>
  <si>
    <t>Threats #1</t>
  </si>
  <si>
    <t>Negative (Commercial)</t>
  </si>
  <si>
    <t>Microsoft Defender for IoT bundled into Microsoft 365 E5 at no incremental cost, leveraging massive enterprise distribution to undercut ServiceNow-Armis pricing and reduce switching incentives.</t>
  </si>
  <si>
    <t>Microsoft has embedded agentless OT detection (Defender for IoT) into M365 E5 at zero incremental cost to existing subscribers. Because ServiceNow's 8,800+ enterprise customers are overwhelmingly Microsoft shops, procurement teams now have a 'good enough for free' alternative already in their infrastructure. This shifts the competitive dynamic from capability comparison to pricing justification, creating systematic pressure on deal economics and lengthening sales cycles.</t>
  </si>
  <si>
    <t>Microsoft continues to expand Defender for IoT capabilities with each quarterly release cycle. Each new feature raises the bar for what ServiceNow-Armis must deliver to justify incremental spend. Enterprise procurement teams are actively evaluating vendor consolidation as part of 2026 budget cycles, and the 'free with existing license' positioning gives Microsoft a structural advantage in these conversations.</t>
  </si>
  <si>
    <t>Positive (Strategic Opportunity)</t>
  </si>
  <si>
    <t>Regulatory tailwinds from CMMC, EU NIS2 Directive, CIRCIA, and updated HIPAA rules creating mandatory compliance demand for asset visibility and risk management capabilities.</t>
  </si>
  <si>
    <t>Multiple regulatory mandates taking effect in 2025-2026 are creating mandatory demand for the exact capabilities the combined ServiceNow-Armis platform delivers. The CMMC program rule (32 CFR Part 170) became effective December 2024 with DFARS requirements phasing in from 2025, requiring the defense industrial base to demonstrate cybersecurity maturity. The EU NIS2 Directive expands requirements to manufacturers with board-level personal liability. CIRCIA will require 72-hour incident reporting. Updated HIPAA rules elevate network segmentation requirements. Each regulation drives demand for continuous asset visibility, automated risk assessment, and compliance documentation, which is the core of the combined platform offering.</t>
  </si>
  <si>
    <t>These regulations are active mandates with enforcement timelines already underway. Organizations that fail to comply face contract losses (CMMC), board-level liability (NIS2), and regulatory penalties (HIPAA). The compliance urgency creates favorable demand where customers must invest regardless of broader budget pressures, and ServiceNow-Armis's existing FedRAMP Moderate, DISA IL5, and KLAS Healthcare IoT authorizations provide pre-qualified access to the highest-value regulated segments.</t>
  </si>
  <si>
    <t>Opportunities #2</t>
  </si>
  <si>
    <t>Key Risk Indicator (KRI) Framework: Competitive Risks</t>
  </si>
  <si>
    <t>Each risk is assigned one leading indicator with Green/Amber/Red thresholds for escalation.</t>
  </si>
  <si>
    <t>Risk Description (Summary)</t>
  </si>
  <si>
    <t>KRI Metric (Leading Indicator)</t>
  </si>
  <si>
    <t>Measurement Method &amp; Frequency</t>
  </si>
  <si>
    <t>Green (Optimized)</t>
  </si>
  <si>
    <t>Amber (Warning)</t>
  </si>
  <si>
    <t>Red (Critical)</t>
  </si>
  <si>
    <t>Strategic displacement by rival mega-acquisition platforms (Google/Wiz, Palo Alto/CyberArk, Cisco/Splunk)</t>
  </si>
  <si>
    <t>Competitive Win Rate in OT/IoT Deals</t>
  </si>
  <si>
    <t>Track the percentage of qualified OT/IoT security opportunities where ServiceNow-Armis is selected over competing integrated platforms. Data sourced from CRM pipeline reporting, win/loss analysis interviews, and quarterly deal reviews. Measured monthly with quarterly trend analysis.</t>
  </si>
  <si>
    <t>Win rate remains above 35% against integrated platform competitors. ServiceNow-Armis is shortlisted in &gt;60% of qualified opportunities.</t>
  </si>
  <si>
    <t>Win rate drops to 25-35% against integrated competitors. Shortlist inclusion declines to 45-60%. Two or more strategic accounts lost to a single rival platform in a quarter.</t>
  </si>
  <si>
    <t>Win rate falls below 25%. Shortlist inclusion drops below 45%. Pattern of losses indicates systemic competitive disadvantage requiring immediate strategic review and product acceleration.</t>
  </si>
  <si>
    <t>Commercial pricing pressure from Microsoft Defender for IoT bundled in M365 E5 at zero incremental cost</t>
  </si>
  <si>
    <t>Prospect Objection Rate Citing Microsoft Bundling</t>
  </si>
  <si>
    <t>Track the percentage of active sales opportunities where the prospect raises Microsoft Defender for IoT as a 'good enough' alternative or uses it as pricing leverage. Data captured through mandatory CRM objection tagging by sales reps at each pipeline stage. Measured monthly.</t>
  </si>
  <si>
    <t>Microsoft bundling cited as objection in &lt;15% of active opportunities. Average deal cycle length unchanged. Pricing holds stable with &lt;5% discount variance from list.</t>
  </si>
  <si>
    <t>Microsoft bundling cited in 15-30% of opportunities. Deal cycles lengthening by &gt;20%. Discount pressure increasing with &gt;10% average discount variance from list price.</t>
  </si>
  <si>
    <t>Microsoft bundling cited in &gt;30% of opportunities. Multiple deals stalled or lost specifically due to 'free with E5' positioning. Systematic pricing erosion requiring immediate competitive response.</t>
  </si>
  <si>
    <t>Regulatory tailwinds (CMMC, NIS2, CIRCIA, HIPAA) driving mandatory demand for combined platform</t>
  </si>
  <si>
    <t>Regulatory-Driven Pipeline Growth Rate</t>
  </si>
  <si>
    <t>Track the quarter-over-quarter growth rate of new pipeline specifically attributed to regulatory compliance requirements (CMMC, NIS2, CIRCIA, HIPAA). Sourced from CRM opportunity tagging where primary buying trigger is regulatory compliance. Measured quarterly.</t>
  </si>
  <si>
    <t>Regulatory-driven pipeline growing &gt;25% QoQ. Compliance use cases represent &gt;30% of new pipeline value. Win rates in compliance-driven deals exceed 40%.</t>
  </si>
  <si>
    <t>Regulatory-driven pipeline growth slows to 10-25% QoQ. Compliance pipeline share drops to 20-30%. Competitors gaining traction in compliance positioning.</t>
  </si>
  <si>
    <t>Regulatory-driven pipeline growth below 10% QoQ or declining. Compliance share below 20%. Competitors have launched dedicated compliance bundles customers are selecting instead.</t>
  </si>
  <si>
    <t>Probability of Occurrence</t>
  </si>
  <si>
    <t>Very Unlikely</t>
  </si>
  <si>
    <t>Somewhat Unlikely</t>
  </si>
  <si>
    <t>50-50 Possibility</t>
  </si>
  <si>
    <t>Somewhat Likely</t>
  </si>
  <si>
    <t>Very Likely</t>
  </si>
  <si>
    <t>Impact of Risk: defined as the impact to the firm before the controls (Inherent Risk)</t>
  </si>
  <si>
    <t>Financial</t>
  </si>
  <si>
    <t>Operational</t>
  </si>
  <si>
    <t>Competitive Risks</t>
  </si>
  <si>
    <t>Reputational</t>
  </si>
  <si>
    <t>Technical</t>
  </si>
  <si>
    <t>Legal/Compliance</t>
  </si>
  <si>
    <t>Very Low</t>
  </si>
  <si>
    <t>Minimal cost variance under $5M; negligible impact on quarterly earnings</t>
  </si>
  <si>
    <t>Minor workflow disruption; no customer-facing impact; resolved within standard SLA</t>
  </si>
  <si>
    <t>No measurable change in competitive win rates or market positioning</t>
  </si>
  <si>
    <t>No external awareness; contained within internal teams</t>
  </si>
  <si>
    <t>Minor Service Graph Connector latency; no integration milestone delay</t>
  </si>
  <si>
    <t>Routine compliance documentation update; no regulatory inquiry</t>
  </si>
  <si>
    <t>Somewhat Low</t>
  </si>
  <si>
    <t>Cost impact of $5-25M; slight margin compression but within quarterly guidance</t>
  </si>
  <si>
    <t>Limited delays in integration milestones; workarounds available for affected teams</t>
  </si>
  <si>
    <t>Marginal shift in competitive positioning; single deal loss attributable to competitor action</t>
  </si>
  <si>
    <t>Limited coverage in trade press; no Fortune 500 customer concern raised</t>
  </si>
  <si>
    <t>Integration test failures requiring sprint-level rework; no data integrity issue</t>
  </si>
  <si>
    <t>Regulatory inquiry with no formal action; internal audit finding requiring remediation</t>
  </si>
  <si>
    <t>Moderate</t>
  </si>
  <si>
    <t>Significant cost of $25-100M; potential for guidance revision in upcoming quarter</t>
  </si>
  <si>
    <t>Notable disruption to Armis integration timeline; 1-3 month delay in key capability delivery</t>
  </si>
  <si>
    <t>Measurable decline in OT/IoT deal win rates; 2-3 strategic accounts evaluating competitor alternatives</t>
  </si>
  <si>
    <t>Sustained negative coverage in cybersecurity trade press; analyst downgrades on integration execution</t>
  </si>
  <si>
    <t>Bidirectional integration delayed &gt;6 months; customer-facing feature degradation</t>
  </si>
  <si>
    <t>Formal regulatory investigation; FedRAMP re-authorization timeline extended beyond 18 months</t>
  </si>
  <si>
    <t>Somewhat High</t>
  </si>
  <si>
    <t>Major financial impact of $100-500M; potential goodwill impairment review triggered</t>
  </si>
  <si>
    <t>Major disruption requiring re-scoping of integration plan; key capability delivery delayed &gt;6 months</t>
  </si>
  <si>
    <t>Loss of 5+ strategic accounts to rival platforms; measurable market share decline in OT/IoT segment</t>
  </si>
  <si>
    <t>National media coverage questioning acquisition rationale; shareholder activist engagement</t>
  </si>
  <si>
    <t>Platform instability affecting production customer environments; emergency engineering response</t>
  </si>
  <si>
    <t>Compliance violation resulting in regulatory fines; federal contract suspension pending re-authorization</t>
  </si>
  <si>
    <t>High</t>
  </si>
  <si>
    <t>Severe financial loss of $500M-$1B; material goodwill impairment write-down required</t>
  </si>
  <si>
    <t>Critical integration failure requiring fundamental re-architecture; leadership restructuring</t>
  </si>
  <si>
    <t>Significant market share loss; competitor platform becomes industry standard in target segments</t>
  </si>
  <si>
    <t>Sustained reputation damage affecting customer retention and recruiting; board-level crisis management</t>
  </si>
  <si>
    <t>Critical platform failure; customer data integrity compromised; emergency remediation across environments</t>
  </si>
  <si>
    <t>Major regulatory sanctions; loss of FedRAMP or DISA authorization; defense contract termination</t>
  </si>
  <si>
    <t>Extremely High</t>
  </si>
  <si>
    <t>Existential financial impact &gt;$1B; full goodwill write-off of $7.75B acquisition value</t>
  </si>
  <si>
    <t>Complete integration failure; Armis divestiture or write-down under consideration</t>
  </si>
  <si>
    <t>Fundamental competitive threat; ServiceNow displaced from enterprise security market by rival platforms</t>
  </si>
  <si>
    <t>Irreparable brand damage to ServiceNow's platform credibility; C-suite departures</t>
  </si>
  <si>
    <t>Total platform failure affecting billions of monitored devices across Fortune 100 customers</t>
  </si>
  <si>
    <t>Criminal investigation or license revocation; permanent loss of federal authorization to operate</t>
  </si>
  <si>
    <t>Date</t>
  </si>
  <si>
    <t>The Risk of/That</t>
  </si>
  <si>
    <t>Caused by</t>
  </si>
  <si>
    <t>Resulting In</t>
  </si>
  <si>
    <t>Consequence/Impact</t>
  </si>
  <si>
    <t>Likelihood Score</t>
  </si>
  <si>
    <t>Impact Score</t>
  </si>
  <si>
    <t>Risk Score</t>
  </si>
  <si>
    <t>Priority (H, M, L)</t>
  </si>
  <si>
    <t>Mitigation</t>
  </si>
  <si>
    <t>Risk Owner</t>
  </si>
  <si>
    <t>Open/Closed</t>
  </si>
  <si>
    <t>Likelihood/Impact</t>
  </si>
  <si>
    <t>2026-03-02</t>
  </si>
  <si>
    <t>The risk of competitive displacement in the OT/IoT security market by rival integrated platforms</t>
  </si>
  <si>
    <t>Caused by three rival mega-acquisitions in 2025 (Google/Wiz at $32B, Palo Alto/CyberArk at $25B, Cisco/Splunk at $28B) creating competing integrated security platforms with direct OT/IoT capabilities</t>
  </si>
  <si>
    <t>Resulting in a potential 10-15% decline in OT/IoT deal win rates as customers evaluate rival platforms that may complete integration faster, loss of strategic enterprise accounts during ServiceNow's 12-18 month integration window, and risk of failing to achieve the cross-sell revenue targets needed to justify the $7.75B acquisition price</t>
  </si>
  <si>
    <t>Strategic / Competitive</t>
  </si>
  <si>
    <t>H</t>
  </si>
  <si>
    <t>Accelerate ServiceNow's unique single-platform value proposition combining ITSM workflow automation with Armis asset intelligence; leverage 8,800+ enterprise customer base and 85% Fortune 500 penetration for targeted cross-sell; prioritize differentiated use cases such as automated vulnerability remediation workflows; establish competitive intelligence team tracking rival integration progress</t>
  </si>
  <si>
    <t>Chief Strategy Officer / CRO</t>
  </si>
  <si>
    <t>Open</t>
  </si>
  <si>
    <t>Very Likely (9)</t>
  </si>
  <si>
    <t>Risk 3</t>
  </si>
  <si>
    <t>The risk of market share erosion and pricing pressure from Microsoft's bundled OT/IoT security offering</t>
  </si>
  <si>
    <t>Caused by Microsoft embedding Defender for IoT into its M365 E5 license at no incremental cost, providing a bundled alternative that leverages Microsoft's dominant enterprise distribution across the majority of Fortune 500 companies</t>
  </si>
  <si>
    <t>Resulting in 5-10% average discount erosion from list pricing as procurement teams leverage the free Microsoft alternative, longer sales cycles extending 20-30% beyond current averages, and customer adoption stalling in the mid-market segment where Microsoft's distribution advantage is strongest</t>
  </si>
  <si>
    <t>Commercial / Competitive</t>
  </si>
  <si>
    <t>M</t>
  </si>
  <si>
    <t>Develop clear competitive differentiation demonstrating ServiceNow-Armis's superior asset discovery depth across billions of devices versus Microsoft's narrower coverage and lack of workflow automation; create ROI calculators quantifying the cost of security gaps from 'good enough' solutions; target OT-heavy industries (manufacturing, energy, healthcare) where Armis has proven depth and Defender for IoT coverage is weakest; establish competitive response playbook for field sales</t>
  </si>
  <si>
    <t>CRO / VP Product Marketing</t>
  </si>
  <si>
    <t>Somewhat Likely (7)</t>
  </si>
  <si>
    <t>Risk 2</t>
  </si>
  <si>
    <t>Risk 1</t>
  </si>
  <si>
    <t>The risk of accelerated market demand driven by regulatory mandates exceeding ServiceNow-Armis's capacity to capture</t>
  </si>
  <si>
    <t>Caused by multiple concurrent regulatory mandates taking effect in 2025-2026: CMMC (32 CFR Part 170) phasing in DFARS requirements across the defense industrial base, EU NIS2 Directive expanding cybersecurity requirements with board-level personal liability, CIRCIA requiring 72-hour cyber incident reporting, and updated HIPAA rules elevating network segmentation requirements</t>
  </si>
  <si>
    <t>Resulting in an estimated $500M+ incremental pipeline opportunity over 24 months as organizations are compelled to invest in asset visibility regardless of broader budget pressures, with ServiceNow-Armis's existing FedRAMP Moderate, DISA IL5, and KLAS Healthcare IoT authorizations providing pre-qualified access to the highest-value regulated segments where Armis federal business has grown 120%+ year-over-year</t>
  </si>
  <si>
    <t>Strategic Opportunity</t>
  </si>
  <si>
    <t>Build compliance-specific product bundles mapping platform features to CMMC, NIS2, CIRCIA, and HIPAA requirements; develop automated compliance reporting dashboards; establish regulatory advisory partnerships; invest in dedicated federal and healthcare sales teams; pursue additional vertical-specific certifications to expand the competitive moat in regulated markets</t>
  </si>
  <si>
    <t>VP Product / VP Federal &amp; Healthcare Sales</t>
  </si>
  <si>
    <t>50-50 (5)</t>
  </si>
  <si>
    <t>Somewhat Unlikely (3)</t>
  </si>
  <si>
    <t>Very Unlikely (1)</t>
  </si>
  <si>
    <t>Response Plan Options:</t>
  </si>
  <si>
    <t>Priority Legend:</t>
  </si>
  <si>
    <t>Avoidance</t>
  </si>
  <si>
    <t>High (H): Score &gt;= 45</t>
  </si>
  <si>
    <t>Mitigation/Reduction</t>
  </si>
  <si>
    <t>Medium (M): Score 20-44</t>
  </si>
  <si>
    <t>Transfer</t>
  </si>
  <si>
    <t>Low (L): Score &lt; 20</t>
  </si>
  <si>
    <t>Acceptance</t>
  </si>
  <si>
    <t>Risk Heatmap: ServiceNow-Armis Competitive Risk Assessment</t>
  </si>
  <si>
    <t>IMPACT</t>
  </si>
  <si>
    <t>Very Low (1)</t>
  </si>
  <si>
    <t>Somewhat Low (2)</t>
  </si>
  <si>
    <t>Moderate (4)</t>
  </si>
  <si>
    <t>Somewhat High (6)</t>
  </si>
  <si>
    <t>High (8)</t>
  </si>
  <si>
    <t>Extremely High (9)</t>
  </si>
  <si>
    <t>LIKELIHOOD</t>
  </si>
  <si>
    <t>9</t>
  </si>
  <si>
    <t>18</t>
  </si>
  <si>
    <t>36</t>
  </si>
  <si>
    <t>54</t>
  </si>
  <si>
    <t>81</t>
  </si>
  <si>
    <t>7</t>
  </si>
  <si>
    <t>14</t>
  </si>
  <si>
    <t>28</t>
  </si>
  <si>
    <t>63</t>
  </si>
  <si>
    <t>5</t>
  </si>
  <si>
    <t>10</t>
  </si>
  <si>
    <t>20</t>
  </si>
  <si>
    <t>30</t>
  </si>
  <si>
    <t>40</t>
  </si>
  <si>
    <t>45</t>
  </si>
  <si>
    <t>3</t>
  </si>
  <si>
    <t>6</t>
  </si>
  <si>
    <t>12</t>
  </si>
  <si>
    <t>24</t>
  </si>
  <si>
    <t>27</t>
  </si>
  <si>
    <t>1</t>
  </si>
  <si>
    <t>2</t>
  </si>
  <si>
    <t>4</t>
  </si>
  <si>
    <t>8</t>
  </si>
  <si>
    <t>Risk Score Color Legend:</t>
  </si>
  <si>
    <t>Risk Placement Summary:</t>
  </si>
  <si>
    <t>High Risk (Score &gt;= 45)</t>
  </si>
  <si>
    <t>Risk 1 (Negative): Rival mega-acquisitions - Likelihood 7, Impact 8, Score 56 (HIGH)</t>
  </si>
  <si>
    <t>Medium Risk (Score 20-44)</t>
  </si>
  <si>
    <t>Risk 2 (Negative): Microsoft bundling - Likelihood 7, Impact 6, Score 42 (MEDIUM)</t>
  </si>
  <si>
    <t>Low Risk (Score &lt; 20)</t>
  </si>
  <si>
    <t>Risk 3 (Positive): Regulatory tailwinds - Likelihood 9, Impact 8, Score 72 (HIGH)</t>
  </si>
  <si>
    <t>1. Avoidance  |  2. Mitigation/Reduction  |  3. Transfer  |  4. Acceptance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</si>
</sst>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4"/>
      <color rgb="FF2E4057"/>
      <name val="Arial"/>
      <family val="2"/>
    </font>
    <font>
      <sz val="14"/>
      <color theme="1"/>
      <name val="Calibri"/>
      <family val="2"/>
      <charset val="1"/>
    </font>
    <font>
      <b/>
      <sz val="14"/>
      <name val="Arial"/>
      <family val="2"/>
    </font>
    <font>
      <sz val="14"/>
      <name val="Arial"/>
      <family val="2"/>
    </font>
    <font>
      <b/>
      <sz val="14"/>
      <color rgb="FFFFFFFF"/>
      <name val="Arial"/>
      <family val="2"/>
    </font>
    <font>
      <i/>
      <sz val="14"/>
      <color rgb="FF555555"/>
      <name val="Arial"/>
      <family val="2"/>
    </font>
    <font>
      <sz val="14"/>
      <color theme="1"/>
      <name val="Arial"/>
      <family val="2"/>
    </font>
    <font>
      <sz val="14"/>
      <color rgb="FF888888"/>
      <name val="Arial"/>
      <family val="2"/>
    </font>
  </fonts>
  <fills count="6">
    <fill>
      <patternFill patternType="none"/>
    </fill>
    <fill>
      <patternFill patternType="gray125"/>
    </fill>
    <fill>
      <patternFill patternType="solid">
        <fgColor rgb="FF2E4057"/>
        <bgColor rgb="FF333399"/>
      </patternFill>
    </fill>
    <fill>
      <patternFill patternType="solid">
        <fgColor rgb="FFF4CCCC"/>
        <bgColor rgb="FFD9EAD3"/>
      </patternFill>
    </fill>
    <fill>
      <patternFill patternType="solid">
        <fgColor rgb="FFD9EAD3"/>
        <bgColor rgb="FFFFF2CC"/>
      </patternFill>
    </fill>
    <fill>
      <patternFill patternType="solid">
        <fgColor rgb="FFFFF2CC"/>
        <bgColor rgb="FFFFFFFF"/>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39">
    <xf numFmtId="0" fontId="0" fillId="0" borderId="0" xfId="0"/>
    <xf numFmtId="0" fontId="1" fillId="0" borderId="0" xfId="0" applyFont="1"/>
    <xf numFmtId="0" fontId="2" fillId="0" borderId="0" xfId="0" applyFont="1"/>
    <xf numFmtId="0" fontId="2" fillId="0" borderId="0" xfId="0" applyFont="1"/>
    <xf numFmtId="0" fontId="3" fillId="0" borderId="0" xfId="0" applyFont="1"/>
    <xf numFmtId="0" fontId="4" fillId="0" borderId="0" xfId="0" applyFont="1"/>
    <xf numFmtId="0" fontId="5" fillId="2" borderId="1" xfId="0" applyFont="1" applyFill="1" applyBorder="1" applyAlignment="1">
      <alignment horizontal="center" vertical="top" wrapText="1"/>
    </xf>
    <xf numFmtId="0" fontId="3" fillId="0" borderId="1" xfId="0" applyFont="1" applyBorder="1" applyAlignment="1">
      <alignment vertical="top" wrapText="1"/>
    </xf>
    <xf numFmtId="0" fontId="3" fillId="3" borderId="1" xfId="0" applyFont="1" applyFill="1" applyBorder="1" applyAlignment="1">
      <alignment horizontal="center" vertical="top" wrapText="1"/>
    </xf>
    <xf numFmtId="0" fontId="4" fillId="0" borderId="1" xfId="0" applyFont="1" applyBorder="1" applyAlignment="1">
      <alignment vertical="top" wrapText="1"/>
    </xf>
    <xf numFmtId="0" fontId="3" fillId="4" borderId="1" xfId="0" applyFont="1" applyFill="1" applyBorder="1" applyAlignment="1">
      <alignment horizontal="center" vertical="top" wrapText="1"/>
    </xf>
    <xf numFmtId="0" fontId="6" fillId="0" borderId="0" xfId="0" applyFont="1"/>
    <xf numFmtId="0" fontId="3" fillId="0" borderId="1" xfId="0" applyFont="1" applyBorder="1" applyAlignment="1">
      <alignment horizontal="center" vertical="top" wrapText="1"/>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4" fillId="3" borderId="1" xfId="0" applyFont="1" applyFill="1" applyBorder="1" applyAlignment="1">
      <alignment vertical="top" wrapText="1"/>
    </xf>
    <xf numFmtId="0" fontId="7" fillId="0" borderId="0" xfId="0" applyFont="1"/>
    <xf numFmtId="0" fontId="7" fillId="0" borderId="0" xfId="0" applyFont="1"/>
    <xf numFmtId="0" fontId="4" fillId="0" borderId="1" xfId="0" applyFont="1" applyBorder="1"/>
    <xf numFmtId="0" fontId="3" fillId="0" borderId="1" xfId="0" applyFont="1" applyBorder="1" applyAlignment="1">
      <alignment horizontal="center" vertical="center"/>
    </xf>
    <xf numFmtId="0" fontId="3" fillId="0" borderId="0" xfId="0" applyFont="1"/>
    <xf numFmtId="0" fontId="4" fillId="0" borderId="1" xfId="0" applyFont="1" applyBorder="1" applyAlignment="1">
      <alignment horizontal="center" vertical="top" wrapText="1"/>
    </xf>
    <xf numFmtId="0" fontId="3" fillId="0" borderId="1" xfId="0" applyFont="1" applyBorder="1"/>
    <xf numFmtId="0" fontId="4"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5" borderId="1" xfId="0" applyFont="1" applyFill="1" applyBorder="1" applyAlignment="1">
      <alignment horizontal="center" vertical="top" wrapText="1"/>
    </xf>
    <xf numFmtId="0" fontId="3" fillId="5" borderId="1" xfId="0" applyFont="1" applyFill="1" applyBorder="1" applyAlignment="1">
      <alignment horizontal="center" vertical="center"/>
    </xf>
    <xf numFmtId="0" fontId="4" fillId="0" borderId="0" xfId="0" applyFont="1"/>
    <xf numFmtId="0" fontId="4" fillId="3" borderId="0" xfId="0" applyFont="1" applyFill="1"/>
    <xf numFmtId="0" fontId="4" fillId="5" borderId="0" xfId="0" applyFont="1" applyFill="1"/>
    <xf numFmtId="0" fontId="4" fillId="4" borderId="0" xfId="0" applyFont="1" applyFill="1"/>
    <xf numFmtId="0" fontId="3" fillId="0" borderId="0" xfId="0" applyFont="1" applyAlignment="1">
      <alignment horizontal="center"/>
    </xf>
    <xf numFmtId="0" fontId="1" fillId="0" borderId="0" xfId="0" applyFont="1" applyAlignment="1">
      <alignment horizontal="center" vertical="center" textRotation="90" wrapText="1"/>
    </xf>
    <xf numFmtId="0" fontId="3" fillId="0" borderId="1" xfId="0" applyFont="1" applyBorder="1" applyAlignment="1">
      <alignment horizontal="right" vertical="center"/>
    </xf>
    <xf numFmtId="0" fontId="8" fillId="4" borderId="1" xfId="0" applyFont="1" applyFill="1" applyBorder="1" applyAlignment="1">
      <alignment horizontal="center" vertical="center"/>
    </xf>
    <xf numFmtId="0" fontId="8" fillId="5" borderId="1" xfId="0" applyFont="1" applyFill="1" applyBorder="1" applyAlignment="1">
      <alignment horizontal="center" vertical="center"/>
    </xf>
    <xf numFmtId="0" fontId="8"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C0C0C0"/>
      <rgbColor rgb="FF888888"/>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4CCCC"/>
      <rgbColor rgb="FF4472C4"/>
      <rgbColor rgb="FF33CCCC"/>
      <rgbColor rgb="FF99CC00"/>
      <rgbColor rgb="FFFFCC00"/>
      <rgbColor rgb="FFFF9900"/>
      <rgbColor rgb="FFFF6600"/>
      <rgbColor rgb="FF555555"/>
      <rgbColor rgb="FFAAAAAA"/>
      <rgbColor rgb="FF003366"/>
      <rgbColor rgb="FF339966"/>
      <rgbColor rgb="FF003300"/>
      <rgbColor rgb="FF333300"/>
      <rgbColor rgb="FF993300"/>
      <rgbColor rgb="FF993366"/>
      <rgbColor rgb="FF333399"/>
      <rgbColor rgb="FF2E405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
  <sheetViews>
    <sheetView zoomScaleNormal="100" workbookViewId="0">
      <selection activeCell="C7" sqref="C7"/>
    </sheetView>
  </sheetViews>
  <sheetFormatPr baseColWidth="10" defaultColWidth="8.6640625" defaultRowHeight="19" x14ac:dyDescent="0.25"/>
  <cols>
    <col min="1" max="1" width="9.33203125" style="3" bestFit="1" customWidth="1"/>
    <col min="2" max="2" width="21.1640625" style="3" customWidth="1"/>
    <col min="3" max="3" width="51.1640625" style="3" bestFit="1" customWidth="1"/>
    <col min="4" max="4" width="93.6640625" style="3" customWidth="1"/>
    <col min="5" max="5" width="80.5" style="3" customWidth="1"/>
    <col min="6" max="6" width="19.5" style="3" bestFit="1" customWidth="1"/>
    <col min="7" max="16384" width="8.6640625" style="3"/>
  </cols>
  <sheetData>
    <row r="1" spans="1:6" x14ac:dyDescent="0.25">
      <c r="A1" s="1" t="s">
        <v>0</v>
      </c>
      <c r="B1" s="2"/>
      <c r="C1" s="2"/>
      <c r="D1" s="2"/>
      <c r="E1" s="2"/>
      <c r="F1" s="2"/>
    </row>
    <row r="3" spans="1:6" x14ac:dyDescent="0.25">
      <c r="A3" s="4" t="s">
        <v>1</v>
      </c>
      <c r="B3" s="2"/>
      <c r="C3" s="2"/>
      <c r="D3" s="2"/>
      <c r="E3" s="2"/>
      <c r="F3" s="2"/>
    </row>
    <row r="4" spans="1:6" x14ac:dyDescent="0.25">
      <c r="A4" s="5" t="s">
        <v>2</v>
      </c>
      <c r="B4" s="2"/>
      <c r="C4" s="2"/>
      <c r="D4" s="2"/>
      <c r="E4" s="2"/>
      <c r="F4" s="2"/>
    </row>
    <row r="6" spans="1:6" ht="26.25" customHeight="1" x14ac:dyDescent="0.25">
      <c r="A6" s="6" t="s">
        <v>3</v>
      </c>
      <c r="B6" s="6" t="s">
        <v>4</v>
      </c>
      <c r="C6" s="6" t="s">
        <v>5</v>
      </c>
      <c r="D6" s="6" t="s">
        <v>6</v>
      </c>
      <c r="E6" s="6" t="s">
        <v>7</v>
      </c>
      <c r="F6" s="6" t="s">
        <v>8</v>
      </c>
    </row>
    <row r="7" spans="1:6" ht="139.5" customHeight="1" x14ac:dyDescent="0.25">
      <c r="A7" s="7">
        <v>1</v>
      </c>
      <c r="B7" s="8" t="s">
        <v>9</v>
      </c>
      <c r="C7" s="9" t="s">
        <v>10</v>
      </c>
      <c r="D7" s="9" t="s">
        <v>11</v>
      </c>
      <c r="E7" s="9" t="s">
        <v>12</v>
      </c>
      <c r="F7" s="9" t="s">
        <v>13</v>
      </c>
    </row>
    <row r="8" spans="1:6" ht="139.5" customHeight="1" x14ac:dyDescent="0.25">
      <c r="A8" s="7">
        <v>2</v>
      </c>
      <c r="B8" s="8" t="s">
        <v>14</v>
      </c>
      <c r="C8" s="9" t="s">
        <v>15</v>
      </c>
      <c r="D8" s="9" t="s">
        <v>16</v>
      </c>
      <c r="E8" s="9" t="s">
        <v>17</v>
      </c>
      <c r="F8" s="9" t="s">
        <v>13</v>
      </c>
    </row>
    <row r="9" spans="1:6" ht="139.5" customHeight="1" x14ac:dyDescent="0.25">
      <c r="A9" s="7">
        <v>3</v>
      </c>
      <c r="B9" s="10" t="s">
        <v>18</v>
      </c>
      <c r="C9" s="9" t="s">
        <v>19</v>
      </c>
      <c r="D9" s="9" t="s">
        <v>20</v>
      </c>
      <c r="E9" s="9" t="s">
        <v>21</v>
      </c>
      <c r="F9" s="9" t="s">
        <v>22</v>
      </c>
    </row>
  </sheetData>
  <mergeCells count="3">
    <mergeCell ref="A3:F3"/>
    <mergeCell ref="A1:F1"/>
    <mergeCell ref="A4:F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
  <sheetViews>
    <sheetView topLeftCell="B1" zoomScaleNormal="100" workbookViewId="0">
      <selection activeCell="I7" sqref="I7"/>
    </sheetView>
  </sheetViews>
  <sheetFormatPr baseColWidth="10" defaultColWidth="8.6640625" defaultRowHeight="18" x14ac:dyDescent="0.2"/>
  <cols>
    <col min="1" max="1" width="8" style="17" customWidth="1"/>
    <col min="2" max="2" width="35.83203125" style="17" customWidth="1"/>
    <col min="3" max="3" width="31.6640625" style="17" customWidth="1"/>
    <col min="4" max="4" width="63.1640625" style="17" customWidth="1"/>
    <col min="5" max="5" width="48.6640625" style="17" customWidth="1"/>
    <col min="6" max="6" width="46.5" style="17" customWidth="1"/>
    <col min="7" max="7" width="49.1640625" style="17" customWidth="1"/>
    <col min="8" max="16384" width="8.6640625" style="17"/>
  </cols>
  <sheetData>
    <row r="1" spans="1:7" ht="17.25" customHeight="1" x14ac:dyDescent="0.2">
      <c r="A1" s="1" t="s">
        <v>23</v>
      </c>
      <c r="B1" s="16"/>
      <c r="C1" s="16"/>
      <c r="D1" s="16"/>
      <c r="E1" s="16"/>
      <c r="F1" s="16"/>
      <c r="G1" s="16"/>
    </row>
    <row r="2" spans="1:7" ht="15" customHeight="1" x14ac:dyDescent="0.2">
      <c r="A2" s="11" t="s">
        <v>24</v>
      </c>
      <c r="B2" s="16"/>
      <c r="C2" s="16"/>
      <c r="D2" s="16"/>
      <c r="E2" s="16"/>
      <c r="F2" s="16"/>
      <c r="G2" s="16"/>
    </row>
    <row r="4" spans="1:7" ht="57" x14ac:dyDescent="0.2">
      <c r="A4" s="6" t="s">
        <v>3</v>
      </c>
      <c r="B4" s="6" t="s">
        <v>25</v>
      </c>
      <c r="C4" s="6" t="s">
        <v>26</v>
      </c>
      <c r="D4" s="6" t="s">
        <v>27</v>
      </c>
      <c r="E4" s="6" t="s">
        <v>28</v>
      </c>
      <c r="F4" s="6" t="s">
        <v>29</v>
      </c>
      <c r="G4" s="6" t="s">
        <v>30</v>
      </c>
    </row>
    <row r="5" spans="1:7" ht="150" customHeight="1" x14ac:dyDescent="0.2">
      <c r="A5" s="12">
        <v>1</v>
      </c>
      <c r="B5" s="9" t="s">
        <v>31</v>
      </c>
      <c r="C5" s="9" t="s">
        <v>32</v>
      </c>
      <c r="D5" s="9" t="s">
        <v>33</v>
      </c>
      <c r="E5" s="13" t="s">
        <v>34</v>
      </c>
      <c r="F5" s="14" t="s">
        <v>35</v>
      </c>
      <c r="G5" s="15" t="s">
        <v>36</v>
      </c>
    </row>
    <row r="6" spans="1:7" ht="150" customHeight="1" x14ac:dyDescent="0.2">
      <c r="A6" s="12">
        <v>2</v>
      </c>
      <c r="B6" s="9" t="s">
        <v>37</v>
      </c>
      <c r="C6" s="9" t="s">
        <v>38</v>
      </c>
      <c r="D6" s="9" t="s">
        <v>39</v>
      </c>
      <c r="E6" s="13" t="s">
        <v>40</v>
      </c>
      <c r="F6" s="14" t="s">
        <v>41</v>
      </c>
      <c r="G6" s="15" t="s">
        <v>42</v>
      </c>
    </row>
    <row r="7" spans="1:7" ht="150" customHeight="1" x14ac:dyDescent="0.2">
      <c r="A7" s="12">
        <v>3</v>
      </c>
      <c r="B7" s="9" t="s">
        <v>43</v>
      </c>
      <c r="C7" s="9" t="s">
        <v>44</v>
      </c>
      <c r="D7" s="9" t="s">
        <v>45</v>
      </c>
      <c r="E7" s="13" t="s">
        <v>46</v>
      </c>
      <c r="F7" s="14" t="s">
        <v>47</v>
      </c>
      <c r="G7" s="15" t="s">
        <v>48</v>
      </c>
    </row>
  </sheetData>
  <mergeCells count="2">
    <mergeCell ref="A2:G2"/>
    <mergeCell ref="A1:G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5"/>
  <sheetViews>
    <sheetView tabSelected="1" zoomScaleNormal="100" workbookViewId="0">
      <selection activeCell="D13" sqref="D13"/>
    </sheetView>
  </sheetViews>
  <sheetFormatPr baseColWidth="10" defaultColWidth="8.6640625" defaultRowHeight="18" x14ac:dyDescent="0.2"/>
  <cols>
    <col min="1" max="1" width="32.1640625" style="17" customWidth="1"/>
    <col min="2" max="2" width="11.1640625" style="17" customWidth="1"/>
    <col min="3" max="3" width="27.33203125" style="17" bestFit="1" customWidth="1"/>
    <col min="4" max="4" width="30.5" style="17" bestFit="1" customWidth="1"/>
    <col min="5" max="5" width="32.5" style="17" bestFit="1" customWidth="1"/>
    <col min="6" max="6" width="33" style="17" bestFit="1" customWidth="1"/>
    <col min="7" max="7" width="36.6640625" style="17" bestFit="1" customWidth="1"/>
    <col min="8" max="8" width="32" style="17" bestFit="1" customWidth="1"/>
    <col min="9" max="16384" width="8.6640625" style="17"/>
  </cols>
  <sheetData>
    <row r="1" spans="1:8" x14ac:dyDescent="0.2">
      <c r="A1" s="1" t="s">
        <v>49</v>
      </c>
      <c r="B1" s="16"/>
    </row>
    <row r="2" spans="1:8" x14ac:dyDescent="0.2">
      <c r="A2" s="18" t="s">
        <v>50</v>
      </c>
      <c r="B2" s="19">
        <v>1</v>
      </c>
    </row>
    <row r="3" spans="1:8" x14ac:dyDescent="0.2">
      <c r="A3" s="18" t="s">
        <v>51</v>
      </c>
      <c r="B3" s="19">
        <v>3</v>
      </c>
    </row>
    <row r="4" spans="1:8" x14ac:dyDescent="0.2">
      <c r="A4" s="18" t="s">
        <v>52</v>
      </c>
      <c r="B4" s="19">
        <v>5</v>
      </c>
    </row>
    <row r="5" spans="1:8" x14ac:dyDescent="0.2">
      <c r="A5" s="18" t="s">
        <v>53</v>
      </c>
      <c r="B5" s="19">
        <v>7</v>
      </c>
    </row>
    <row r="6" spans="1:8" x14ac:dyDescent="0.2">
      <c r="A6" s="18" t="s">
        <v>54</v>
      </c>
      <c r="B6" s="19">
        <v>9</v>
      </c>
    </row>
    <row r="8" spans="1:8" x14ac:dyDescent="0.2">
      <c r="A8" s="1" t="s">
        <v>55</v>
      </c>
      <c r="B8" s="16"/>
      <c r="C8" s="16"/>
      <c r="D8" s="16"/>
      <c r="E8" s="16"/>
      <c r="F8" s="16"/>
      <c r="G8" s="16"/>
      <c r="H8" s="16"/>
    </row>
    <row r="9" spans="1:8" ht="19" x14ac:dyDescent="0.2">
      <c r="A9" s="6"/>
      <c r="B9" s="6"/>
      <c r="C9" s="6" t="s">
        <v>56</v>
      </c>
      <c r="D9" s="6" t="s">
        <v>57</v>
      </c>
      <c r="E9" s="6" t="s">
        <v>58</v>
      </c>
      <c r="F9" s="6" t="s">
        <v>59</v>
      </c>
      <c r="G9" s="6" t="s">
        <v>60</v>
      </c>
      <c r="H9" s="6" t="s">
        <v>61</v>
      </c>
    </row>
    <row r="10" spans="1:8" ht="79.5" customHeight="1" x14ac:dyDescent="0.2">
      <c r="A10" s="19" t="s">
        <v>62</v>
      </c>
      <c r="B10" s="19">
        <v>1</v>
      </c>
      <c r="C10" s="9" t="s">
        <v>63</v>
      </c>
      <c r="D10" s="9" t="s">
        <v>64</v>
      </c>
      <c r="E10" s="9" t="s">
        <v>65</v>
      </c>
      <c r="F10" s="9" t="s">
        <v>66</v>
      </c>
      <c r="G10" s="9" t="s">
        <v>67</v>
      </c>
      <c r="H10" s="9" t="s">
        <v>68</v>
      </c>
    </row>
    <row r="11" spans="1:8" ht="79.5" customHeight="1" x14ac:dyDescent="0.2">
      <c r="A11" s="19" t="s">
        <v>69</v>
      </c>
      <c r="B11" s="19">
        <v>2</v>
      </c>
      <c r="C11" s="9" t="s">
        <v>70</v>
      </c>
      <c r="D11" s="9" t="s">
        <v>71</v>
      </c>
      <c r="E11" s="9" t="s">
        <v>72</v>
      </c>
      <c r="F11" s="9" t="s">
        <v>73</v>
      </c>
      <c r="G11" s="9" t="s">
        <v>74</v>
      </c>
      <c r="H11" s="9" t="s">
        <v>75</v>
      </c>
    </row>
    <row r="12" spans="1:8" ht="79.5" customHeight="1" x14ac:dyDescent="0.2">
      <c r="A12" s="19" t="s">
        <v>76</v>
      </c>
      <c r="B12" s="19">
        <v>4</v>
      </c>
      <c r="C12" s="9" t="s">
        <v>77</v>
      </c>
      <c r="D12" s="9" t="s">
        <v>78</v>
      </c>
      <c r="E12" s="9" t="s">
        <v>79</v>
      </c>
      <c r="F12" s="9" t="s">
        <v>80</v>
      </c>
      <c r="G12" s="9" t="s">
        <v>81</v>
      </c>
      <c r="H12" s="9" t="s">
        <v>82</v>
      </c>
    </row>
    <row r="13" spans="1:8" ht="79.5" customHeight="1" x14ac:dyDescent="0.2">
      <c r="A13" s="19" t="s">
        <v>83</v>
      </c>
      <c r="B13" s="19">
        <v>6</v>
      </c>
      <c r="C13" s="9" t="s">
        <v>84</v>
      </c>
      <c r="D13" s="9" t="s">
        <v>85</v>
      </c>
      <c r="E13" s="9" t="s">
        <v>86</v>
      </c>
      <c r="F13" s="9" t="s">
        <v>87</v>
      </c>
      <c r="G13" s="9" t="s">
        <v>88</v>
      </c>
      <c r="H13" s="9" t="s">
        <v>89</v>
      </c>
    </row>
    <row r="14" spans="1:8" ht="79.5" customHeight="1" x14ac:dyDescent="0.2">
      <c r="A14" s="19" t="s">
        <v>90</v>
      </c>
      <c r="B14" s="19">
        <v>8</v>
      </c>
      <c r="C14" s="9" t="s">
        <v>91</v>
      </c>
      <c r="D14" s="9" t="s">
        <v>92</v>
      </c>
      <c r="E14" s="9" t="s">
        <v>93</v>
      </c>
      <c r="F14" s="9" t="s">
        <v>94</v>
      </c>
      <c r="G14" s="9" t="s">
        <v>95</v>
      </c>
      <c r="H14" s="9" t="s">
        <v>96</v>
      </c>
    </row>
    <row r="15" spans="1:8" ht="79.5" customHeight="1" x14ac:dyDescent="0.2">
      <c r="A15" s="19" t="s">
        <v>97</v>
      </c>
      <c r="B15" s="19">
        <v>9</v>
      </c>
      <c r="C15" s="9" t="s">
        <v>98</v>
      </c>
      <c r="D15" s="9" t="s">
        <v>99</v>
      </c>
      <c r="E15" s="9" t="s">
        <v>100</v>
      </c>
      <c r="F15" s="9" t="s">
        <v>101</v>
      </c>
      <c r="G15" s="9" t="s">
        <v>102</v>
      </c>
      <c r="H15" s="9" t="s">
        <v>103</v>
      </c>
    </row>
  </sheetData>
  <mergeCells count="2">
    <mergeCell ref="A8:H8"/>
    <mergeCell ref="A1:B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2"/>
  <sheetViews>
    <sheetView zoomScaleNormal="100" workbookViewId="0">
      <pane ySplit="1" topLeftCell="A2" activePane="bottomLeft" state="frozen"/>
      <selection pane="bottomLeft" activeCell="D4" sqref="D4"/>
    </sheetView>
  </sheetViews>
  <sheetFormatPr baseColWidth="10" defaultColWidth="8.6640625" defaultRowHeight="18" x14ac:dyDescent="0.2"/>
  <cols>
    <col min="1" max="1" width="10.6640625" style="17" customWidth="1"/>
    <col min="2" max="2" width="16" style="17" customWidth="1"/>
    <col min="3" max="3" width="28.33203125" style="17" customWidth="1"/>
    <col min="4" max="4" width="50" style="17" customWidth="1"/>
    <col min="5" max="5" width="52.5" style="17" customWidth="1"/>
    <col min="6" max="6" width="28.1640625" style="17" customWidth="1"/>
    <col min="7" max="7" width="14.1640625" style="17" customWidth="1"/>
    <col min="8" max="8" width="12.83203125" style="17" customWidth="1"/>
    <col min="9" max="9" width="11.33203125" style="17" customWidth="1"/>
    <col min="10" max="10" width="12" style="17" customWidth="1"/>
    <col min="11" max="11" width="64.5" style="17" customWidth="1"/>
    <col min="12" max="12" width="19.1640625" style="17" bestFit="1" customWidth="1"/>
    <col min="13" max="13" width="21" style="17" bestFit="1" customWidth="1"/>
    <col min="14" max="14" width="8.6640625" style="17"/>
    <col min="15" max="15" width="29.5" style="17" bestFit="1" customWidth="1"/>
    <col min="16" max="16" width="25.5" style="17" customWidth="1"/>
    <col min="17" max="17" width="26.1640625" style="17" customWidth="1"/>
    <col min="18" max="18" width="25.5" style="17" customWidth="1"/>
    <col min="19" max="19" width="28.83203125" style="17" bestFit="1" customWidth="1"/>
    <col min="20" max="21" width="28.6640625" style="17" customWidth="1"/>
    <col min="22" max="16384" width="8.6640625" style="17"/>
  </cols>
  <sheetData>
    <row r="1" spans="1:21" ht="51" customHeight="1" x14ac:dyDescent="0.2">
      <c r="A1" s="6" t="s">
        <v>3</v>
      </c>
      <c r="B1" s="6" t="s">
        <v>104</v>
      </c>
      <c r="C1" s="6" t="s">
        <v>105</v>
      </c>
      <c r="D1" s="6" t="s">
        <v>106</v>
      </c>
      <c r="E1" s="6" t="s">
        <v>107</v>
      </c>
      <c r="F1" s="6" t="s">
        <v>108</v>
      </c>
      <c r="G1" s="6" t="s">
        <v>109</v>
      </c>
      <c r="H1" s="6" t="s">
        <v>110</v>
      </c>
      <c r="I1" s="6" t="s">
        <v>111</v>
      </c>
      <c r="J1" s="6" t="s">
        <v>112</v>
      </c>
      <c r="K1" s="6" t="s">
        <v>113</v>
      </c>
      <c r="L1" s="6" t="s">
        <v>114</v>
      </c>
      <c r="M1" s="6" t="s">
        <v>115</v>
      </c>
      <c r="O1" s="20" t="s">
        <v>116</v>
      </c>
      <c r="P1" s="19">
        <v>1</v>
      </c>
      <c r="Q1" s="19">
        <v>2</v>
      </c>
      <c r="R1" s="19">
        <v>4</v>
      </c>
      <c r="S1" s="19">
        <v>6</v>
      </c>
      <c r="T1" s="19">
        <v>8</v>
      </c>
      <c r="U1" s="19">
        <v>9</v>
      </c>
    </row>
    <row r="2" spans="1:21" ht="159.75" customHeight="1" x14ac:dyDescent="0.2">
      <c r="A2" s="21">
        <v>1</v>
      </c>
      <c r="B2" s="21" t="s">
        <v>117</v>
      </c>
      <c r="C2" s="9" t="s">
        <v>118</v>
      </c>
      <c r="D2" s="9" t="s">
        <v>119</v>
      </c>
      <c r="E2" s="9" t="s">
        <v>120</v>
      </c>
      <c r="F2" s="21" t="s">
        <v>121</v>
      </c>
      <c r="G2" s="21">
        <v>7</v>
      </c>
      <c r="H2" s="21">
        <v>8</v>
      </c>
      <c r="I2" s="12">
        <f>G2*H2</f>
        <v>56</v>
      </c>
      <c r="J2" s="8" t="s">
        <v>122</v>
      </c>
      <c r="K2" s="9" t="s">
        <v>123</v>
      </c>
      <c r="L2" s="21" t="s">
        <v>124</v>
      </c>
      <c r="M2" s="21" t="s">
        <v>125</v>
      </c>
      <c r="O2" s="22" t="s">
        <v>126</v>
      </c>
      <c r="P2" s="23"/>
      <c r="Q2" s="23"/>
      <c r="R2" s="24"/>
      <c r="S2" s="25"/>
      <c r="T2" s="26" t="s">
        <v>127</v>
      </c>
      <c r="U2" s="25"/>
    </row>
    <row r="3" spans="1:21" ht="159.75" customHeight="1" x14ac:dyDescent="0.2">
      <c r="A3" s="21">
        <v>2</v>
      </c>
      <c r="B3" s="21" t="s">
        <v>117</v>
      </c>
      <c r="C3" s="9" t="s">
        <v>128</v>
      </c>
      <c r="D3" s="9" t="s">
        <v>129</v>
      </c>
      <c r="E3" s="9" t="s">
        <v>130</v>
      </c>
      <c r="F3" s="21" t="s">
        <v>131</v>
      </c>
      <c r="G3" s="21">
        <v>7</v>
      </c>
      <c r="H3" s="21">
        <v>6</v>
      </c>
      <c r="I3" s="12">
        <f>G3*H3</f>
        <v>42</v>
      </c>
      <c r="J3" s="27" t="s">
        <v>132</v>
      </c>
      <c r="K3" s="9" t="s">
        <v>133</v>
      </c>
      <c r="L3" s="21" t="s">
        <v>134</v>
      </c>
      <c r="M3" s="21" t="s">
        <v>125</v>
      </c>
      <c r="O3" s="22" t="s">
        <v>135</v>
      </c>
      <c r="P3" s="23"/>
      <c r="Q3" s="23"/>
      <c r="R3" s="24"/>
      <c r="S3" s="28" t="s">
        <v>136</v>
      </c>
      <c r="T3" s="26" t="s">
        <v>137</v>
      </c>
      <c r="U3" s="25"/>
    </row>
    <row r="4" spans="1:21" ht="190" x14ac:dyDescent="0.2">
      <c r="A4" s="21">
        <v>3</v>
      </c>
      <c r="B4" s="21" t="s">
        <v>117</v>
      </c>
      <c r="C4" s="9" t="s">
        <v>138</v>
      </c>
      <c r="D4" s="9" t="s">
        <v>139</v>
      </c>
      <c r="E4" s="9" t="s">
        <v>140</v>
      </c>
      <c r="F4" s="21" t="s">
        <v>141</v>
      </c>
      <c r="G4" s="21">
        <v>9</v>
      </c>
      <c r="H4" s="21">
        <v>8</v>
      </c>
      <c r="I4" s="12">
        <f>G4*H4</f>
        <v>72</v>
      </c>
      <c r="J4" s="8" t="s">
        <v>122</v>
      </c>
      <c r="K4" s="9" t="s">
        <v>142</v>
      </c>
      <c r="L4" s="21" t="s">
        <v>143</v>
      </c>
      <c r="M4" s="21" t="s">
        <v>125</v>
      </c>
      <c r="O4" s="22" t="s">
        <v>144</v>
      </c>
      <c r="P4" s="23"/>
      <c r="Q4" s="23"/>
      <c r="R4" s="24"/>
      <c r="S4" s="24"/>
      <c r="T4" s="24"/>
      <c r="U4" s="25"/>
    </row>
    <row r="5" spans="1:21" x14ac:dyDescent="0.2">
      <c r="O5" s="22" t="s">
        <v>145</v>
      </c>
      <c r="P5" s="23"/>
      <c r="Q5" s="23"/>
      <c r="R5" s="23"/>
      <c r="S5" s="23"/>
      <c r="T5" s="24"/>
      <c r="U5" s="24"/>
    </row>
    <row r="6" spans="1:21" x14ac:dyDescent="0.2">
      <c r="O6" s="22" t="s">
        <v>146</v>
      </c>
      <c r="P6" s="23"/>
      <c r="Q6" s="23"/>
      <c r="R6" s="23"/>
      <c r="S6" s="23"/>
      <c r="T6" s="23"/>
      <c r="U6" s="23"/>
    </row>
    <row r="8" spans="1:21" x14ac:dyDescent="0.2">
      <c r="O8" s="20" t="s">
        <v>147</v>
      </c>
      <c r="S8" s="20" t="s">
        <v>148</v>
      </c>
    </row>
    <row r="9" spans="1:21" x14ac:dyDescent="0.2">
      <c r="O9" s="29" t="s">
        <v>149</v>
      </c>
      <c r="S9" s="30" t="s">
        <v>150</v>
      </c>
    </row>
    <row r="10" spans="1:21" x14ac:dyDescent="0.2">
      <c r="O10" s="29" t="s">
        <v>151</v>
      </c>
      <c r="S10" s="31" t="s">
        <v>152</v>
      </c>
    </row>
    <row r="11" spans="1:21" x14ac:dyDescent="0.2">
      <c r="O11" s="29" t="s">
        <v>153</v>
      </c>
      <c r="S11" s="32" t="s">
        <v>154</v>
      </c>
    </row>
    <row r="12" spans="1:21" x14ac:dyDescent="0.2">
      <c r="O12" s="29" t="s">
        <v>155</v>
      </c>
    </row>
  </sheetData>
  <autoFilter ref="A1:M4"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7"/>
  <sheetViews>
    <sheetView zoomScaleNormal="100" workbookViewId="0">
      <selection activeCell="C21" sqref="C21"/>
    </sheetView>
  </sheetViews>
  <sheetFormatPr baseColWidth="10" defaultColWidth="8.6640625" defaultRowHeight="18" x14ac:dyDescent="0.2"/>
  <cols>
    <col min="1" max="1" width="4" style="17" customWidth="1"/>
    <col min="2" max="2" width="30.33203125" style="17" customWidth="1"/>
    <col min="3" max="8" width="18" style="17" customWidth="1"/>
    <col min="9" max="16384" width="8.6640625" style="17"/>
  </cols>
  <sheetData>
    <row r="1" spans="1:8" x14ac:dyDescent="0.2">
      <c r="A1" s="1" t="s">
        <v>156</v>
      </c>
      <c r="B1" s="16"/>
      <c r="C1" s="16"/>
      <c r="D1" s="16"/>
      <c r="E1" s="16"/>
      <c r="F1" s="16"/>
      <c r="G1" s="16"/>
      <c r="H1" s="16"/>
    </row>
    <row r="3" spans="1:8" ht="15" customHeight="1" x14ac:dyDescent="0.2">
      <c r="C3" s="33" t="s">
        <v>157</v>
      </c>
      <c r="D3" s="16"/>
      <c r="E3" s="16"/>
      <c r="F3" s="16"/>
      <c r="G3" s="16"/>
      <c r="H3" s="16"/>
    </row>
    <row r="4" spans="1:8" ht="38" x14ac:dyDescent="0.2">
      <c r="C4" s="6" t="s">
        <v>158</v>
      </c>
      <c r="D4" s="6" t="s">
        <v>159</v>
      </c>
      <c r="E4" s="6" t="s">
        <v>160</v>
      </c>
      <c r="F4" s="6" t="s">
        <v>161</v>
      </c>
      <c r="G4" s="6" t="s">
        <v>162</v>
      </c>
      <c r="H4" s="6" t="s">
        <v>163</v>
      </c>
    </row>
    <row r="5" spans="1:8" ht="39.75" customHeight="1" x14ac:dyDescent="0.2">
      <c r="A5" s="34" t="s">
        <v>164</v>
      </c>
      <c r="B5" s="35" t="s">
        <v>126</v>
      </c>
      <c r="C5" s="36" t="s">
        <v>165</v>
      </c>
      <c r="D5" s="36" t="s">
        <v>166</v>
      </c>
      <c r="E5" s="37" t="s">
        <v>167</v>
      </c>
      <c r="F5" s="38" t="s">
        <v>168</v>
      </c>
      <c r="G5" s="26" t="s">
        <v>127</v>
      </c>
      <c r="H5" s="38" t="s">
        <v>169</v>
      </c>
    </row>
    <row r="6" spans="1:8" ht="39.75" customHeight="1" x14ac:dyDescent="0.2">
      <c r="A6" s="16"/>
      <c r="B6" s="35" t="s">
        <v>135</v>
      </c>
      <c r="C6" s="36" t="s">
        <v>170</v>
      </c>
      <c r="D6" s="36" t="s">
        <v>171</v>
      </c>
      <c r="E6" s="37" t="s">
        <v>172</v>
      </c>
      <c r="F6" s="28" t="s">
        <v>136</v>
      </c>
      <c r="G6" s="26" t="s">
        <v>137</v>
      </c>
      <c r="H6" s="38" t="s">
        <v>173</v>
      </c>
    </row>
    <row r="7" spans="1:8" ht="39.75" customHeight="1" x14ac:dyDescent="0.2">
      <c r="A7" s="16"/>
      <c r="B7" s="35" t="s">
        <v>144</v>
      </c>
      <c r="C7" s="36" t="s">
        <v>174</v>
      </c>
      <c r="D7" s="36" t="s">
        <v>175</v>
      </c>
      <c r="E7" s="37" t="s">
        <v>176</v>
      </c>
      <c r="F7" s="37" t="s">
        <v>177</v>
      </c>
      <c r="G7" s="37" t="s">
        <v>178</v>
      </c>
      <c r="H7" s="38" t="s">
        <v>179</v>
      </c>
    </row>
    <row r="8" spans="1:8" ht="39.75" customHeight="1" x14ac:dyDescent="0.2">
      <c r="A8" s="16"/>
      <c r="B8" s="35" t="s">
        <v>145</v>
      </c>
      <c r="C8" s="36" t="s">
        <v>180</v>
      </c>
      <c r="D8" s="36" t="s">
        <v>181</v>
      </c>
      <c r="E8" s="36" t="s">
        <v>182</v>
      </c>
      <c r="F8" s="36" t="s">
        <v>166</v>
      </c>
      <c r="G8" s="37" t="s">
        <v>183</v>
      </c>
      <c r="H8" s="37" t="s">
        <v>184</v>
      </c>
    </row>
    <row r="9" spans="1:8" ht="39.75" customHeight="1" x14ac:dyDescent="0.2">
      <c r="A9" s="16"/>
      <c r="B9" s="35" t="s">
        <v>146</v>
      </c>
      <c r="C9" s="36" t="s">
        <v>185</v>
      </c>
      <c r="D9" s="36" t="s">
        <v>186</v>
      </c>
      <c r="E9" s="36" t="s">
        <v>187</v>
      </c>
      <c r="F9" s="36" t="s">
        <v>181</v>
      </c>
      <c r="G9" s="36" t="s">
        <v>188</v>
      </c>
      <c r="H9" s="36" t="s">
        <v>165</v>
      </c>
    </row>
    <row r="11" spans="1:8" x14ac:dyDescent="0.2">
      <c r="B11" s="20" t="s">
        <v>189</v>
      </c>
      <c r="E11" s="20" t="s">
        <v>190</v>
      </c>
    </row>
    <row r="12" spans="1:8" x14ac:dyDescent="0.2">
      <c r="B12" s="30" t="s">
        <v>191</v>
      </c>
      <c r="E12" s="29" t="s">
        <v>192</v>
      </c>
    </row>
    <row r="13" spans="1:8" x14ac:dyDescent="0.2">
      <c r="B13" s="31" t="s">
        <v>193</v>
      </c>
      <c r="E13" s="29" t="s">
        <v>194</v>
      </c>
    </row>
    <row r="14" spans="1:8" x14ac:dyDescent="0.2">
      <c r="B14" s="32" t="s">
        <v>195</v>
      </c>
      <c r="E14" s="29" t="s">
        <v>196</v>
      </c>
    </row>
    <row r="16" spans="1:8" x14ac:dyDescent="0.2">
      <c r="B16" s="20" t="s">
        <v>147</v>
      </c>
    </row>
    <row r="17" spans="2:2" ht="15" customHeight="1" x14ac:dyDescent="0.2">
      <c r="B17" s="29" t="s">
        <v>197</v>
      </c>
    </row>
  </sheetData>
  <mergeCells count="3">
    <mergeCell ref="A5:A9"/>
    <mergeCell ref="A1:H1"/>
    <mergeCell ref="C3:H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Problem Statement</vt:lpstr>
      <vt:lpstr>KRI Framework</vt:lpstr>
      <vt:lpstr>RiskCalculationSheet</vt:lpstr>
      <vt:lpstr>RiskRegister</vt:lpstr>
      <vt:lpstr>Heatmap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Lawrence Dass</cp:lastModifiedBy>
  <cp:revision>0</cp:revision>
  <dcterms:created xsi:type="dcterms:W3CDTF">2026-03-02T06:23:39Z</dcterms:created>
  <dcterms:modified xsi:type="dcterms:W3CDTF">2026-03-02T07:05:01Z</dcterms:modified>
  <dc:language>en-US</dc:language>
</cp:coreProperties>
</file>