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a Mathai\OneDrive\Documents\Northeastern Academic Documents\ALY 6130\Week 2\Assignment 2\"/>
    </mc:Choice>
  </mc:AlternateContent>
  <xr:revisionPtr revIDLastSave="0" documentId="13_ncr:1_{20BA0A6A-66EA-4333-BC6A-F55FEF4D9E0B}" xr6:coauthVersionLast="47" xr6:coauthVersionMax="47" xr10:uidLastSave="{00000000-0000-0000-0000-000000000000}"/>
  <bookViews>
    <workbookView xWindow="-110" yWindow="-110" windowWidth="19420" windowHeight="10300" tabRatio="500" firstSheet="2" activeTab="4" xr2:uid="{00000000-000D-0000-FFFF-FFFF00000000}"/>
  </bookViews>
  <sheets>
    <sheet name="Problem Statement" sheetId="1" r:id="rId1"/>
    <sheet name="KRI Framework" sheetId="2" r:id="rId2"/>
    <sheet name="RiskCalculationSheet" sheetId="3" r:id="rId3"/>
    <sheet name="RiskRegister" sheetId="4" r:id="rId4"/>
    <sheet name="Heatmap" sheetId="5" r:id="rId5"/>
  </sheets>
  <definedNames>
    <definedName name="_xlnm._FilterDatabase" localSheetId="3" hidden="1">RiskRegister!$A$1:$M$4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4" l="1"/>
  <c r="I2" i="4"/>
</calcChain>
</file>

<file path=xl/sharedStrings.xml><?xml version="1.0" encoding="utf-8"?>
<sst xmlns="http://schemas.openxmlformats.org/spreadsheetml/2006/main" count="191" uniqueCount="172">
  <si>
    <t>Problem Statement: Competitive Risks for ServiceNow's Acquisition of Armis</t>
  </si>
  <si>
    <t>Company: ServiceNow (NYSE: NOW) | Scenario: Strategic Expansion via $7.75B Acquisition of Armis</t>
  </si>
  <si>
    <t>Industry: Enterprise Cybersecurity / OT-IoT Security</t>
  </si>
  <si>
    <t>Risk #</t>
  </si>
  <si>
    <t>Risk Type</t>
  </si>
  <si>
    <t>Competitive Pressure (from SWOT)</t>
  </si>
  <si>
    <t>Problem Statement</t>
  </si>
  <si>
    <t>Why Monitoring Is Required Now</t>
  </si>
  <si>
    <t>SWOT Source</t>
  </si>
  <si>
    <t>Negative (Strategic)</t>
  </si>
  <si>
    <t>Intensifying competition from well-funded rival mega-acquisitions creating integrated security platforms (Google/Wiz at $32B, Palo Alto Networks/CyberArk at $25B, Cisco/Splunk at $28B) with direct OT/IoT capabilities.</t>
  </si>
  <si>
    <t>Threats #1</t>
  </si>
  <si>
    <t>Positive (Strategic Opportunity)</t>
  </si>
  <si>
    <t>Regulatory tailwinds from CMMC, EU NIS2 Directive, CIRCIA, and updated HIPAA rules creating mandatory compliance demand for asset visibility and risk management capabilities.</t>
  </si>
  <si>
    <t>Opportunities #2</t>
  </si>
  <si>
    <t>Key Risk Indicator (KRI) Framework: Competitive Risks</t>
  </si>
  <si>
    <t>Each risk is assigned one leading indicator with Green/Amber/Red thresholds for escalation.</t>
  </si>
  <si>
    <t>Risk Description (Summary)</t>
  </si>
  <si>
    <t>KRI Metric (Leading Indicator)</t>
  </si>
  <si>
    <t>Measurement Method &amp; Frequency</t>
  </si>
  <si>
    <t>Green (Optimized)</t>
  </si>
  <si>
    <t>Amber (Warning)</t>
  </si>
  <si>
    <t>Red (Critical)</t>
  </si>
  <si>
    <t>Strategic displacement by rival mega-acquisition platforms (Google/Wiz, Palo Alto/CyberArk, Cisco/Splunk)</t>
  </si>
  <si>
    <t>Competitive Win Rate in OT/IoT Deals</t>
  </si>
  <si>
    <t>Track the percentage of qualified OT/IoT security opportunities where ServiceNow-Armis is selected over competing integrated platforms. Data sourced from CRM pipeline reporting, win/loss analysis interviews, and quarterly deal reviews. Measured monthly with quarterly trend analysis.</t>
  </si>
  <si>
    <t>Win rate remains above 35% against integrated platform competitors. ServiceNow-Armis is shortlisted in &gt;60% of qualified opportunities.</t>
  </si>
  <si>
    <t>Win rate drops to 25-35% against integrated competitors. Shortlist inclusion declines to 45-60%. Two or more strategic accounts lost to a single rival platform in a quarter.</t>
  </si>
  <si>
    <t>Win rate falls below 25%. Shortlist inclusion drops below 45%. Pattern of losses indicates systemic competitive disadvantage requiring immediate strategic review and product acceleration.</t>
  </si>
  <si>
    <t>Regulatory tailwinds (CMMC, NIS2, CIRCIA, HIPAA) driving mandatory demand for combined platform</t>
  </si>
  <si>
    <t>Regulatory-Driven Pipeline Growth Rate</t>
  </si>
  <si>
    <t>Track the quarter-over-quarter growth rate of new pipeline specifically attributed to regulatory compliance requirements (CMMC, NIS2, CIRCIA, HIPAA). Sourced from CRM opportunity tagging where primary buying trigger is regulatory compliance. Measured quarterly.</t>
  </si>
  <si>
    <t>Regulatory-driven pipeline growing &gt;25% QoQ. Compliance use cases represent &gt;30% of new pipeline value. Win rates in compliance-driven deals exceed 40%.</t>
  </si>
  <si>
    <t>Regulatory-driven pipeline growth slows to 10-25% QoQ. Compliance pipeline share drops to 20-30%. Competitors gaining traction in compliance positioning.</t>
  </si>
  <si>
    <t>Regulatory-driven pipeline growth below 10% QoQ or declining. Compliance share below 20%. Competitors have launched dedicated compliance bundles customers are selecting instead.</t>
  </si>
  <si>
    <t>Probability of Occurrence</t>
  </si>
  <si>
    <t>Very Unlikely</t>
  </si>
  <si>
    <t>Somewhat Unlikely</t>
  </si>
  <si>
    <t>50-50 Possibility</t>
  </si>
  <si>
    <t>Somewhat Likely</t>
  </si>
  <si>
    <t>Very Likely</t>
  </si>
  <si>
    <t>Impact of Risk: defined as the impact to the firm before the controls (Inherent Risk)</t>
  </si>
  <si>
    <t>Financial</t>
  </si>
  <si>
    <t>Operational</t>
  </si>
  <si>
    <t>Competitive Risks</t>
  </si>
  <si>
    <t>Reputational</t>
  </si>
  <si>
    <t>Technical</t>
  </si>
  <si>
    <t>Legal/Compliance</t>
  </si>
  <si>
    <t>Very Low</t>
  </si>
  <si>
    <t>Minimal cost variance under $5M; negligible impact on quarterly earnings</t>
  </si>
  <si>
    <t>Minor workflow disruption; no customer-facing impact; resolved within standard SLA</t>
  </si>
  <si>
    <t>No measurable change in competitive win rates or market positioning</t>
  </si>
  <si>
    <t>No external awareness; contained within internal teams</t>
  </si>
  <si>
    <t>Minor Service Graph Connector latency; no integration milestone delay</t>
  </si>
  <si>
    <t>Routine compliance documentation update; no regulatory inquiry</t>
  </si>
  <si>
    <t>Somewhat Low</t>
  </si>
  <si>
    <t>Cost impact of $5-25M; slight margin compression but within quarterly guidance</t>
  </si>
  <si>
    <t>Limited delays in integration milestones; workarounds available for affected teams</t>
  </si>
  <si>
    <t>Marginal shift in competitive positioning; single deal loss attributable to competitor action</t>
  </si>
  <si>
    <t>Limited coverage in trade press; no Fortune 500 customer concern raised</t>
  </si>
  <si>
    <t>Integration test failures requiring sprint-level rework; no data integrity issue</t>
  </si>
  <si>
    <t>Regulatory inquiry with no formal action; internal audit finding requiring remediation</t>
  </si>
  <si>
    <t>Moderate</t>
  </si>
  <si>
    <t>Significant cost of $25-100M; potential for guidance revision in upcoming quarter</t>
  </si>
  <si>
    <t>Notable disruption to Armis integration timeline; 1-3 month delay in key capability delivery</t>
  </si>
  <si>
    <t>Measurable decline in OT/IoT deal win rates; 2-3 strategic accounts evaluating competitor alternatives</t>
  </si>
  <si>
    <t>Sustained negative coverage in cybersecurity trade press; analyst downgrades on integration execution</t>
  </si>
  <si>
    <t>Bidirectional integration delayed &gt;6 months; customer-facing feature degradation</t>
  </si>
  <si>
    <t>Formal regulatory investigation; FedRAMP re-authorization timeline extended beyond 18 months</t>
  </si>
  <si>
    <t>Somewhat High</t>
  </si>
  <si>
    <t>Major financial impact of $100-500M; potential goodwill impairment review triggered</t>
  </si>
  <si>
    <t>Major disruption requiring re-scoping of integration plan; key capability delivery delayed &gt;6 months</t>
  </si>
  <si>
    <t>National media coverage questioning acquisition rationale; shareholder activist engagement</t>
  </si>
  <si>
    <t>Platform instability affecting production customer environments; emergency engineering response</t>
  </si>
  <si>
    <t>Compliance violation resulting in regulatory fines; federal contract suspension pending re-authorization</t>
  </si>
  <si>
    <t>High</t>
  </si>
  <si>
    <t>Severe financial loss of $500M-$1B; material goodwill impairment write-down required</t>
  </si>
  <si>
    <t>Critical integration failure requiring fundamental re-architecture; leadership restructuring</t>
  </si>
  <si>
    <t>Sustained reputation damage affecting customer retention and recruiting; board-level crisis management</t>
  </si>
  <si>
    <t>Critical platform failure; customer data integrity compromised; emergency remediation across environments</t>
  </si>
  <si>
    <t>Major regulatory sanctions; loss of FedRAMP or DISA authorization; defense contract termination</t>
  </si>
  <si>
    <t>Extremely High</t>
  </si>
  <si>
    <t>Existential financial impact &gt;$1B; full goodwill write-off of $7.75B acquisition value</t>
  </si>
  <si>
    <t>Complete integration failure; Armis divestiture or write-down under consideration</t>
  </si>
  <si>
    <t>Irreparable brand damage to ServiceNow's platform credibility; C-suite departures</t>
  </si>
  <si>
    <t>Total platform failure affecting billions of monitored devices across Fortune 100 customers</t>
  </si>
  <si>
    <t>Criminal investigation or license revocation; permanent loss of federal authorization to operate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</si>
  <si>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</si>
  <si>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</si>
  <si>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</si>
  <si>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</si>
  <si>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</si>
  <si>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</si>
  <si>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</si>
  <si>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</si>
  <si>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</si>
  <si>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</si>
  <si>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</si>
  <si>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</si>
  <si>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Likelihood/Impact</t>
  </si>
  <si>
    <t>2026-03-02</t>
  </si>
  <si>
    <t>The risk of competitive displacement in the OT/IoT security market by rival integrated platforms</t>
  </si>
  <si>
    <t>Caused by three rival mega-acquisitions in 2025 (Google/Wiz at $32B, Palo Alto/CyberArk at $25B, Cisco/Splunk at $28B) creating competing integrated security platforms with direct OT/IoT capabilities</t>
  </si>
  <si>
    <t>Resulting in a potential 10-15% decline in OT/IoT deal win rates as customers evaluate rival platforms that may complete integration faster, loss of strategic enterprise accounts during ServiceNow's 12-18 month integration window, and risk of failing to achieve the cross-sell revenue targets needed to justify the $7.75B acquisition price</t>
  </si>
  <si>
    <t>Strategic / Competitive</t>
  </si>
  <si>
    <t>H</t>
  </si>
  <si>
    <t>Accelerate ServiceNow's unique single-platform value proposition combining ITSM workflow automation with Armis asset intelligence; leverage 8,800+ enterprise customer base and 85% Fortune 500 penetration for targeted cross-sell; prioritize differentiated use cases such as automated vulnerability remediation workflows; establish competitive intelligence team tracking rival integration progress</t>
  </si>
  <si>
    <t>Chief Strategy Officer / CRO</t>
  </si>
  <si>
    <t>Open</t>
  </si>
  <si>
    <t>Very Likely (9)</t>
  </si>
  <si>
    <t>Risk 3</t>
  </si>
  <si>
    <t>Somewhat Likely (7)</t>
  </si>
  <si>
    <t>Risk 2</t>
  </si>
  <si>
    <t>Risk 1</t>
  </si>
  <si>
    <t>The risk of accelerated market demand driven by regulatory mandates exceeding ServiceNow-Armis's capacity to capture</t>
  </si>
  <si>
    <t>Caused by multiple concurrent regulatory mandates taking effect in 2025-2026: CMMC (32 CFR Part 170) phasing in DFARS requirements across the defense industrial base, EU NIS2 Directive expanding cybersecurity requirements with board-level personal liability, CIRCIA requiring 72-hour cyber incident reporting, and updated HIPAA rules elevating network segmentation requirements</t>
  </si>
  <si>
    <t>Resulting in an estimated $500M+ incremental pipeline opportunity over 24 months as organizations are compelled to invest in asset visibility regardless of broader budget pressures, with ServiceNow-Armis's existing FedRAMP Moderate, DISA IL5, and KLAS Healthcare IoT authorizations providing pre-qualified access to the highest-value regulated segments where Armis federal business has grown 120%+ year-over-year</t>
  </si>
  <si>
    <t>Strategic Opportunity</t>
  </si>
  <si>
    <t>Build compliance-specific product bundles mapping platform features to CMMC, NIS2, CIRCIA, and HIPAA requirements; develop automated compliance reporting dashboards; establish regulatory advisory partnerships; invest in dedicated federal and healthcare sales teams; pursue additional vertical-specific certifications to expand the competitive moat in regulated markets</t>
  </si>
  <si>
    <t>VP Product / VP Federal &amp; Healthcare Sales</t>
  </si>
  <si>
    <t>50-50 (5)</t>
  </si>
  <si>
    <t>Somewhat Unlikely (3)</t>
  </si>
  <si>
    <t>Very Unlikely (1)</t>
  </si>
  <si>
    <t>Response Plan Options:</t>
  </si>
  <si>
    <t>Priority Legend:</t>
  </si>
  <si>
    <t>Avoidance</t>
  </si>
  <si>
    <t>High (H): Score &gt;= 45</t>
  </si>
  <si>
    <t>Mitigation/Reduction</t>
  </si>
  <si>
    <t>Medium (M): Score 20-44</t>
  </si>
  <si>
    <t>Transfer</t>
  </si>
  <si>
    <t>Low (L): Score &lt; 20</t>
  </si>
  <si>
    <t>Acceptance</t>
  </si>
  <si>
    <t>Risk Heatmap: ServiceNow-Armis Competitive Risk Assessment</t>
  </si>
  <si>
    <t>IMPACT</t>
  </si>
  <si>
    <t>Very Low (1)</t>
  </si>
  <si>
    <t>Somewhat Low (2)</t>
  </si>
  <si>
    <t>Moderate (4)</t>
  </si>
  <si>
    <t>Somewhat High (6)</t>
  </si>
  <si>
    <t>High (8)</t>
  </si>
  <si>
    <t>Extremely High (9)</t>
  </si>
  <si>
    <t>LIKELIHOOD</t>
  </si>
  <si>
    <t>Risk Score Color Legend:</t>
  </si>
  <si>
    <t>Risk Placement Summary:</t>
  </si>
  <si>
    <t>High Risk (Score &gt;= 45)</t>
  </si>
  <si>
    <t>Risk 1 (Negative): Rival mega-acquisitions - Likelihood 7, Impact 8, Score 56 (HIGH)</t>
  </si>
  <si>
    <t>Medium Risk (Score 20-44)</t>
  </si>
  <si>
    <t>Low Risk (Score &lt; 20)</t>
  </si>
  <si>
    <t>Risk 3 (Positive): Regulatory tailwinds - Likelihood 9, Impact 8, Score 72 (HIGH)</t>
  </si>
  <si>
    <t>1. Avoidance  |  2. Mitigation/Reduction  |  3. Transfer  |  4. Acceptance</t>
  </si>
  <si>
    <t>The risk of competitive displacement in the OT/IoT security market caused by rival mega-acquisitions (Google/Wiz, Palo Alto/CyberArk, Cisco/Splunk) forming fully integrated cybersecurity platforms, resulting in reduced deal win rates, market share erosion, and weakened return on ServiceNow’s $7.75B acquisition investment.</t>
  </si>
  <si>
    <t>The opportunity for accelerated revenue growth and market expansion caused by regulatory mandates (CMMC, EU NIS2, CIRCIA, HIPAA updates) requiring mandatory cybersecurity visibility and compliance capabilities, resulting in expanded compliance-driven pipeline and strengthened positioning in regulated industry segments.</t>
  </si>
  <si>
    <t>The risk of platform relevance erosion caused by competitors embedding advanced AI-driven detection, automation, and analytics capabilities directly into integrated security ecosystems, resulting in diminished differentiation of the ServiceNow-Armis workflow-centric approach and reduced long-term competitive positioning.</t>
  </si>
  <si>
    <t>All three rival mega-acquisitions closed in 2025 and are actively integrating capabilities ahead of ServiceNow’s expected late-2026 integration timeline. This creates a strategic vulnerability window during 2026 enterprise budget cycles, where customers may consolidate around already-integrated security platforms. Early displacement during this integration phase would directly threaten revenue realization, competitive positioning, and the return on ServiceNow’s $7.75B acquisition investment.</t>
  </si>
  <si>
    <t>Intensifying AI-driven platform convergence among hyperscale and security-native competitors embedding advanced automation, analytics, and detection capabilities into unified security ecosystems.</t>
  </si>
  <si>
    <t>Negative (Strategic / Competitive)</t>
  </si>
  <si>
    <t>Regulatory enforcement timelines for CMMC, EU NIS2, CIRCIA, and HIPAA updates are already underway, driving immediate compliance investment decisions across defense, manufacturing, healthcare, and critical infrastructure sectors. Because compliance-driven spending is less discretionary than innovation spending, this demand surge represents a time-sensitive competitive advantage opportunity. Monitoring ensures ServiceNow-Armis captures regulatory-driven pipeline early and establishes positioning before competitors frame themselves as the default compliance platform in regulated industries.</t>
  </si>
  <si>
    <t>Major competitors are accelerating AI-native security integration across cloud, identity, network, and OT environments. As enterprise buyers increasingly prioritize AI-enabled automation and unified data platforms, ServiceNow-Armis must demonstrate comparable innovation velocity. Failure to keep pace may permanently shift competitive perception from pricing disadvantage to structural technology disadvantage.</t>
  </si>
  <si>
    <t>Strategic platform relevance erosion due to AI-driven security convergence among hyperscale and security-native competitors.</t>
  </si>
  <si>
    <t>AI Capability Gap Index (Competitive Feature Parity Score)</t>
  </si>
  <si>
    <t>Track the number of advanced AI-driven detection, automation, and analytics capabilities announced or released by top competitors (Microsoft, Palo Alto, Google) relative to ServiceNow-Armis releases in comparable domains. Data sourced from quarterly product release notes, analyst reports (Gartner/Forrester), and roadmap benchmarking. Measured quarterly.</t>
  </si>
  <si>
    <t>Feature parity declines to 70–84% relative to benchmark set for one quarter. One or more high-impact AI capabilities released by competitors remain unmatched after one quarter.</t>
  </si>
  <si>
    <t>Feature parity falls below 70% for two consecutive quarters. Competitive losses or analyst evaluations explicitly cite AI innovation gap as primary decision driver.</t>
  </si>
  <si>
    <t>ServiceNow-Armis maintains ≥85% feature parity relative to predefined competitive AI capability benchmark set. No critical AI capability gap persists beyond one quarter.</t>
  </si>
  <si>
    <t>Loss of 5+ strategic accounts to rival platforms; measurable market share decline in OT/IoT segment; emerging perception of AI capability gap in analyst or customer evaluations.</t>
  </si>
  <si>
    <t>Significant market share loss; competitor platform becomes industry standard in AI-driven security capabilities across target segments.</t>
  </si>
  <si>
    <t>Fundamental competitive threat; ServiceNow displaced from enterprise security market due to structural technology and platform disadvantage relative to rival ecosystems.</t>
  </si>
  <si>
    <t>The risk of platform relevance erosion in the enterprise security market due to AI-driven platform convergence among hyperscale and security-native competitors</t>
  </si>
  <si>
    <t>Competitors embedding advanced AI-driven detection, automation, and analytics capabilities into integrated security ecosystems across cloud, identity, network, and OT environments</t>
  </si>
  <si>
    <t>Resulting in diminished differentiation of the ServiceNow-Armis workflow-centric approach, reduced competitive positioning in enterprise security evaluations, and potential decline in win rates if AI innovation velocity does not match competitor benchmarks</t>
  </si>
  <si>
    <t>Establish formal AI capability benchmarking against top three competitors; accelerate AI roadmap alignment across detection and automation domains; prioritize AI-enhanced workflow automation use cases; invest in strategic AI partnerships and internal R&amp;D; ensure quarterly competitive feature parity reviews tied to executive performance metrics</t>
  </si>
  <si>
    <t>Chief Product Officer / Chief Strategy Officer</t>
  </si>
  <si>
    <t>Risk 2 (Negative): AI-driven platform convergence – Likelihood 7, Impact 9, Score 63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</si>
</sst>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2E4057"/>
      <name val="Arial"/>
      <family val="2"/>
    </font>
    <font>
      <sz val="14"/>
      <color theme="1"/>
      <name val="Calibri"/>
      <family val="2"/>
      <charset val="1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FFFF"/>
      <name val="Arial"/>
      <family val="2"/>
    </font>
    <font>
      <i/>
      <sz val="14"/>
      <color rgb="FF555555"/>
      <name val="Arial"/>
      <family val="2"/>
    </font>
    <font>
      <sz val="14"/>
      <color theme="1"/>
      <name val="Arial"/>
      <family val="2"/>
    </font>
    <font>
      <sz val="14"/>
      <color rgb="FF88888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4CCCC"/>
        <bgColor rgb="FFD9EAD3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7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0" fontId="3" fillId="0" borderId="1" xfId="0" applyFont="1" applyBorder="1" applyAlignment="1">
      <alignment horizontal="right" vertical="center"/>
    </xf>
    <xf numFmtId="0" fontId="1" fillId="0" borderId="0" xfId="0" applyFont="1"/>
    <xf numFmtId="0" fontId="7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3" borderId="0" xfId="0" applyFont="1" applyFill="1"/>
    <xf numFmtId="0" fontId="9" fillId="5" borderId="0" xfId="0" applyFont="1" applyFill="1"/>
    <xf numFmtId="0" fontId="9" fillId="4" borderId="0" xfId="0" applyFont="1" applyFill="1"/>
    <xf numFmtId="0" fontId="4" fillId="0" borderId="0" xfId="0" applyFont="1" applyAlignment="1"/>
    <xf numFmtId="0" fontId="8" fillId="4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Normal="100" workbookViewId="0">
      <selection activeCell="D7" sqref="D7"/>
    </sheetView>
  </sheetViews>
  <sheetFormatPr defaultColWidth="8.6328125" defaultRowHeight="18.5" x14ac:dyDescent="0.45"/>
  <cols>
    <col min="1" max="1" width="9.36328125" style="1" bestFit="1" customWidth="1"/>
    <col min="2" max="2" width="21.1796875" style="1" customWidth="1"/>
    <col min="3" max="3" width="51.1796875" style="1" bestFit="1" customWidth="1"/>
    <col min="4" max="4" width="93.6328125" style="1" customWidth="1"/>
    <col min="5" max="5" width="80.453125" style="1" customWidth="1"/>
    <col min="6" max="6" width="22.6328125" style="1" customWidth="1"/>
    <col min="7" max="16384" width="8.6328125" style="1"/>
  </cols>
  <sheetData>
    <row r="1" spans="1:6" x14ac:dyDescent="0.45">
      <c r="A1" s="17" t="s">
        <v>0</v>
      </c>
      <c r="B1" s="20"/>
      <c r="C1" s="20"/>
      <c r="D1" s="20"/>
      <c r="E1" s="20"/>
      <c r="F1" s="20"/>
    </row>
    <row r="3" spans="1:6" x14ac:dyDescent="0.45">
      <c r="A3" s="19" t="s">
        <v>1</v>
      </c>
      <c r="B3" s="20"/>
      <c r="C3" s="20"/>
      <c r="D3" s="20"/>
      <c r="E3" s="20"/>
      <c r="F3" s="20"/>
    </row>
    <row r="4" spans="1:6" x14ac:dyDescent="0.45">
      <c r="A4" s="21" t="s">
        <v>2</v>
      </c>
      <c r="B4" s="20"/>
      <c r="C4" s="20"/>
      <c r="D4" s="20"/>
      <c r="E4" s="20"/>
      <c r="F4" s="20"/>
    </row>
    <row r="6" spans="1:6" ht="26.25" customHeight="1" x14ac:dyDescent="0.4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ht="139.5" customHeight="1" x14ac:dyDescent="0.45">
      <c r="A7" s="25">
        <v>1</v>
      </c>
      <c r="B7" s="26" t="s">
        <v>9</v>
      </c>
      <c r="C7" s="27" t="s">
        <v>10</v>
      </c>
      <c r="D7" s="27" t="s">
        <v>149</v>
      </c>
      <c r="E7" s="27" t="s">
        <v>152</v>
      </c>
      <c r="F7" s="27" t="s">
        <v>11</v>
      </c>
    </row>
    <row r="8" spans="1:6" ht="139.5" customHeight="1" x14ac:dyDescent="0.45">
      <c r="A8" s="25">
        <v>2</v>
      </c>
      <c r="B8" s="26" t="s">
        <v>154</v>
      </c>
      <c r="C8" s="27" t="s">
        <v>153</v>
      </c>
      <c r="D8" s="27" t="s">
        <v>151</v>
      </c>
      <c r="E8" s="27" t="s">
        <v>156</v>
      </c>
      <c r="F8" s="27" t="s">
        <v>11</v>
      </c>
    </row>
    <row r="9" spans="1:6" ht="139.5" customHeight="1" x14ac:dyDescent="0.45">
      <c r="A9" s="25">
        <v>3</v>
      </c>
      <c r="B9" s="28" t="s">
        <v>12</v>
      </c>
      <c r="C9" s="27" t="s">
        <v>13</v>
      </c>
      <c r="D9" s="27" t="s">
        <v>150</v>
      </c>
      <c r="E9" s="27" t="s">
        <v>155</v>
      </c>
      <c r="F9" s="27" t="s">
        <v>14</v>
      </c>
    </row>
  </sheetData>
  <mergeCells count="3">
    <mergeCell ref="A3:F3"/>
    <mergeCell ref="A1:F1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opLeftCell="C1" zoomScaleNormal="100" workbookViewId="0">
      <selection activeCell="F6" sqref="F6"/>
    </sheetView>
  </sheetViews>
  <sheetFormatPr defaultColWidth="8.6328125" defaultRowHeight="17.5" x14ac:dyDescent="0.35"/>
  <cols>
    <col min="1" max="1" width="8" style="5" customWidth="1"/>
    <col min="2" max="2" width="35.81640625" style="5" customWidth="1"/>
    <col min="3" max="3" width="31.6328125" style="5" customWidth="1"/>
    <col min="4" max="4" width="63.1796875" style="5" customWidth="1"/>
    <col min="5" max="5" width="48.6328125" style="5" customWidth="1"/>
    <col min="6" max="6" width="46.453125" style="5" customWidth="1"/>
    <col min="7" max="7" width="49.1796875" style="5" customWidth="1"/>
    <col min="8" max="16384" width="8.6328125" style="5"/>
  </cols>
  <sheetData>
    <row r="1" spans="1:7" ht="17.25" customHeight="1" x14ac:dyDescent="0.4">
      <c r="A1" s="17" t="s">
        <v>15</v>
      </c>
      <c r="B1" s="18"/>
      <c r="C1" s="18"/>
      <c r="D1" s="18"/>
      <c r="E1" s="18"/>
      <c r="F1" s="18"/>
      <c r="G1" s="18"/>
    </row>
    <row r="2" spans="1:7" ht="15" customHeight="1" x14ac:dyDescent="0.35">
      <c r="A2" s="22" t="s">
        <v>16</v>
      </c>
      <c r="B2" s="18"/>
      <c r="C2" s="18"/>
      <c r="D2" s="18"/>
      <c r="E2" s="18"/>
      <c r="F2" s="18"/>
      <c r="G2" s="18"/>
    </row>
    <row r="4" spans="1:7" ht="36" x14ac:dyDescent="0.35">
      <c r="A4" s="32" t="s">
        <v>3</v>
      </c>
      <c r="B4" s="32" t="s">
        <v>17</v>
      </c>
      <c r="C4" s="32" t="s">
        <v>18</v>
      </c>
      <c r="D4" s="32" t="s">
        <v>19</v>
      </c>
      <c r="E4" s="32" t="s">
        <v>20</v>
      </c>
      <c r="F4" s="32" t="s">
        <v>21</v>
      </c>
      <c r="G4" s="32" t="s">
        <v>22</v>
      </c>
    </row>
    <row r="5" spans="1:7" ht="150" customHeight="1" x14ac:dyDescent="0.35">
      <c r="A5" s="25">
        <v>1</v>
      </c>
      <c r="B5" s="27" t="s">
        <v>23</v>
      </c>
      <c r="C5" s="27" t="s">
        <v>24</v>
      </c>
      <c r="D5" s="27" t="s">
        <v>25</v>
      </c>
      <c r="E5" s="29" t="s">
        <v>26</v>
      </c>
      <c r="F5" s="30" t="s">
        <v>27</v>
      </c>
      <c r="G5" s="31" t="s">
        <v>28</v>
      </c>
    </row>
    <row r="6" spans="1:7" ht="150" customHeight="1" x14ac:dyDescent="0.35">
      <c r="A6" s="25">
        <v>2</v>
      </c>
      <c r="B6" s="27" t="s">
        <v>157</v>
      </c>
      <c r="C6" s="27" t="s">
        <v>158</v>
      </c>
      <c r="D6" s="27" t="s">
        <v>159</v>
      </c>
      <c r="E6" s="29" t="s">
        <v>162</v>
      </c>
      <c r="F6" s="30" t="s">
        <v>160</v>
      </c>
      <c r="G6" s="31" t="s">
        <v>161</v>
      </c>
    </row>
    <row r="7" spans="1:7" ht="150" customHeight="1" x14ac:dyDescent="0.35">
      <c r="A7" s="25">
        <v>3</v>
      </c>
      <c r="B7" s="27" t="s">
        <v>29</v>
      </c>
      <c r="C7" s="27" t="s">
        <v>30</v>
      </c>
      <c r="D7" s="27" t="s">
        <v>31</v>
      </c>
      <c r="E7" s="29" t="s">
        <v>32</v>
      </c>
      <c r="F7" s="30" t="s">
        <v>33</v>
      </c>
      <c r="G7" s="31" t="s">
        <v>34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opLeftCell="A3" zoomScaleNormal="100" workbookViewId="0">
      <selection activeCell="C10" sqref="C10"/>
    </sheetView>
  </sheetViews>
  <sheetFormatPr defaultColWidth="8.6328125" defaultRowHeight="17.5" x14ac:dyDescent="0.35"/>
  <cols>
    <col min="1" max="1" width="32.1796875" style="5" customWidth="1"/>
    <col min="2" max="2" width="11.1796875" style="5" customWidth="1"/>
    <col min="3" max="3" width="27.36328125" style="5" bestFit="1" customWidth="1"/>
    <col min="4" max="4" width="30.453125" style="5" bestFit="1" customWidth="1"/>
    <col min="5" max="5" width="32.453125" style="5" bestFit="1" customWidth="1"/>
    <col min="6" max="6" width="33" style="5" bestFit="1" customWidth="1"/>
    <col min="7" max="7" width="36.6328125" style="5" bestFit="1" customWidth="1"/>
    <col min="8" max="8" width="32" style="5" bestFit="1" customWidth="1"/>
    <col min="9" max="16384" width="8.6328125" style="5"/>
  </cols>
  <sheetData>
    <row r="1" spans="1:8" ht="18" x14ac:dyDescent="0.4">
      <c r="A1" s="17" t="s">
        <v>35</v>
      </c>
      <c r="B1" s="18"/>
    </row>
    <row r="2" spans="1:8" ht="18" x14ac:dyDescent="0.35">
      <c r="A2" s="6" t="s">
        <v>36</v>
      </c>
      <c r="B2" s="7">
        <v>1</v>
      </c>
    </row>
    <row r="3" spans="1:8" ht="18" x14ac:dyDescent="0.35">
      <c r="A3" s="6" t="s">
        <v>37</v>
      </c>
      <c r="B3" s="7">
        <v>3</v>
      </c>
    </row>
    <row r="4" spans="1:8" ht="18" x14ac:dyDescent="0.35">
      <c r="A4" s="6" t="s">
        <v>38</v>
      </c>
      <c r="B4" s="7">
        <v>5</v>
      </c>
    </row>
    <row r="5" spans="1:8" ht="18" x14ac:dyDescent="0.35">
      <c r="A5" s="6" t="s">
        <v>39</v>
      </c>
      <c r="B5" s="7">
        <v>7</v>
      </c>
    </row>
    <row r="6" spans="1:8" ht="18" x14ac:dyDescent="0.35">
      <c r="A6" s="6" t="s">
        <v>40</v>
      </c>
      <c r="B6" s="7">
        <v>9</v>
      </c>
    </row>
    <row r="8" spans="1:8" ht="18" x14ac:dyDescent="0.4">
      <c r="A8" s="17" t="s">
        <v>41</v>
      </c>
      <c r="B8" s="18"/>
      <c r="C8" s="18"/>
      <c r="D8" s="18"/>
      <c r="E8" s="18"/>
      <c r="F8" s="18"/>
      <c r="G8" s="18"/>
      <c r="H8" s="18"/>
    </row>
    <row r="9" spans="1:8" ht="18" x14ac:dyDescent="0.35">
      <c r="A9" s="4"/>
      <c r="B9" s="4"/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</row>
    <row r="10" spans="1:8" ht="73.5" customHeight="1" x14ac:dyDescent="0.35">
      <c r="A10" s="33" t="s">
        <v>48</v>
      </c>
      <c r="B10" s="33">
        <v>1</v>
      </c>
      <c r="C10" s="27" t="s">
        <v>49</v>
      </c>
      <c r="D10" s="27" t="s">
        <v>50</v>
      </c>
      <c r="E10" s="27" t="s">
        <v>51</v>
      </c>
      <c r="F10" s="27" t="s">
        <v>52</v>
      </c>
      <c r="G10" s="27" t="s">
        <v>53</v>
      </c>
      <c r="H10" s="27" t="s">
        <v>54</v>
      </c>
    </row>
    <row r="11" spans="1:8" ht="79.5" customHeight="1" x14ac:dyDescent="0.35">
      <c r="A11" s="33" t="s">
        <v>55</v>
      </c>
      <c r="B11" s="33">
        <v>2</v>
      </c>
      <c r="C11" s="27" t="s">
        <v>56</v>
      </c>
      <c r="D11" s="27" t="s">
        <v>57</v>
      </c>
      <c r="E11" s="27" t="s">
        <v>58</v>
      </c>
      <c r="F11" s="27" t="s">
        <v>59</v>
      </c>
      <c r="G11" s="27" t="s">
        <v>60</v>
      </c>
      <c r="H11" s="27" t="s">
        <v>61</v>
      </c>
    </row>
    <row r="12" spans="1:8" ht="91.5" customHeight="1" x14ac:dyDescent="0.35">
      <c r="A12" s="33" t="s">
        <v>62</v>
      </c>
      <c r="B12" s="33">
        <v>4</v>
      </c>
      <c r="C12" s="27" t="s">
        <v>63</v>
      </c>
      <c r="D12" s="27" t="s">
        <v>64</v>
      </c>
      <c r="E12" s="27" t="s">
        <v>65</v>
      </c>
      <c r="F12" s="27" t="s">
        <v>66</v>
      </c>
      <c r="G12" s="27" t="s">
        <v>67</v>
      </c>
      <c r="H12" s="27" t="s">
        <v>68</v>
      </c>
    </row>
    <row r="13" spans="1:8" ht="147" customHeight="1" x14ac:dyDescent="0.35">
      <c r="A13" s="33" t="s">
        <v>69</v>
      </c>
      <c r="B13" s="33">
        <v>6</v>
      </c>
      <c r="C13" s="27" t="s">
        <v>70</v>
      </c>
      <c r="D13" s="27" t="s">
        <v>71</v>
      </c>
      <c r="E13" s="27" t="s">
        <v>163</v>
      </c>
      <c r="F13" s="27" t="s">
        <v>72</v>
      </c>
      <c r="G13" s="27" t="s">
        <v>73</v>
      </c>
      <c r="H13" s="27" t="s">
        <v>74</v>
      </c>
    </row>
    <row r="14" spans="1:8" ht="112" customHeight="1" x14ac:dyDescent="0.35">
      <c r="A14" s="33" t="s">
        <v>75</v>
      </c>
      <c r="B14" s="33">
        <v>8</v>
      </c>
      <c r="C14" s="27" t="s">
        <v>76</v>
      </c>
      <c r="D14" s="27" t="s">
        <v>77</v>
      </c>
      <c r="E14" s="27" t="s">
        <v>164</v>
      </c>
      <c r="F14" s="27" t="s">
        <v>78</v>
      </c>
      <c r="G14" s="27" t="s">
        <v>79</v>
      </c>
      <c r="H14" s="27" t="s">
        <v>80</v>
      </c>
    </row>
    <row r="15" spans="1:8" ht="130.5" customHeight="1" x14ac:dyDescent="0.35">
      <c r="A15" s="33" t="s">
        <v>81</v>
      </c>
      <c r="B15" s="33">
        <v>9</v>
      </c>
      <c r="C15" s="27" t="s">
        <v>82</v>
      </c>
      <c r="D15" s="27" t="s">
        <v>83</v>
      </c>
      <c r="E15" s="27" t="s">
        <v>165</v>
      </c>
      <c r="F15" s="27" t="s">
        <v>84</v>
      </c>
      <c r="G15" s="27" t="s">
        <v>85</v>
      </c>
      <c r="H15" s="27" t="s">
        <v>86</v>
      </c>
    </row>
  </sheetData>
  <mergeCells count="2">
    <mergeCell ref="A8:H8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"/>
  <sheetViews>
    <sheetView topLeftCell="G1" zoomScaleNormal="100" workbookViewId="0">
      <pane ySplit="1" topLeftCell="A2" activePane="bottomLeft" state="frozen"/>
      <selection pane="bottomLeft" activeCell="I2" sqref="I2"/>
    </sheetView>
  </sheetViews>
  <sheetFormatPr defaultColWidth="8.6328125" defaultRowHeight="17.5" x14ac:dyDescent="0.35"/>
  <cols>
    <col min="1" max="1" width="10.6328125" style="5" customWidth="1"/>
    <col min="2" max="2" width="16" style="5" customWidth="1"/>
    <col min="3" max="3" width="28.36328125" style="5" customWidth="1"/>
    <col min="4" max="4" width="50" style="5" customWidth="1"/>
    <col min="5" max="5" width="52.453125" style="5" customWidth="1"/>
    <col min="6" max="6" width="28.1796875" style="5" customWidth="1"/>
    <col min="7" max="7" width="14.1796875" style="5" customWidth="1"/>
    <col min="8" max="8" width="12.81640625" style="5" customWidth="1"/>
    <col min="9" max="9" width="11.36328125" style="5" customWidth="1"/>
    <col min="10" max="10" width="12" style="5" customWidth="1"/>
    <col min="11" max="11" width="64.453125" style="5" customWidth="1"/>
    <col min="12" max="12" width="19.1796875" style="5" bestFit="1" customWidth="1"/>
    <col min="13" max="13" width="21" style="5" bestFit="1" customWidth="1"/>
    <col min="14" max="14" width="8.6328125" style="5"/>
    <col min="15" max="15" width="29.453125" style="5" bestFit="1" customWidth="1"/>
    <col min="16" max="16" width="25.453125" style="5" customWidth="1"/>
    <col min="17" max="17" width="26.1796875" style="5" customWidth="1"/>
    <col min="18" max="18" width="25.453125" style="5" customWidth="1"/>
    <col min="19" max="19" width="28.81640625" style="5" bestFit="1" customWidth="1"/>
    <col min="20" max="21" width="28.6328125" style="5" customWidth="1"/>
    <col min="22" max="16384" width="8.6328125" style="5"/>
  </cols>
  <sheetData>
    <row r="1" spans="1:21" ht="51" customHeight="1" x14ac:dyDescent="0.35">
      <c r="A1" s="4" t="s">
        <v>3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O1" s="34" t="s">
        <v>99</v>
      </c>
      <c r="P1" s="7">
        <v>1</v>
      </c>
      <c r="Q1" s="7">
        <v>2</v>
      </c>
      <c r="R1" s="7">
        <v>4</v>
      </c>
      <c r="S1" s="7">
        <v>6</v>
      </c>
      <c r="T1" s="7">
        <v>8</v>
      </c>
      <c r="U1" s="7">
        <v>9</v>
      </c>
    </row>
    <row r="2" spans="1:21" ht="159.75" customHeight="1" x14ac:dyDescent="0.35">
      <c r="A2" s="27">
        <v>1</v>
      </c>
      <c r="B2" s="27" t="s">
        <v>100</v>
      </c>
      <c r="C2" s="27" t="s">
        <v>101</v>
      </c>
      <c r="D2" s="27" t="s">
        <v>102</v>
      </c>
      <c r="E2" s="27" t="s">
        <v>103</v>
      </c>
      <c r="F2" s="27" t="s">
        <v>104</v>
      </c>
      <c r="G2" s="27">
        <v>7</v>
      </c>
      <c r="H2" s="27">
        <v>8</v>
      </c>
      <c r="I2" s="25">
        <f>G2*H2</f>
        <v>56</v>
      </c>
      <c r="J2" s="26" t="s">
        <v>105</v>
      </c>
      <c r="K2" s="27" t="s">
        <v>106</v>
      </c>
      <c r="L2" s="27" t="s">
        <v>107</v>
      </c>
      <c r="M2" s="27" t="s">
        <v>108</v>
      </c>
      <c r="O2" s="35" t="s">
        <v>109</v>
      </c>
      <c r="P2" s="8"/>
      <c r="Q2" s="8"/>
      <c r="R2" s="9"/>
      <c r="S2" s="10"/>
      <c r="T2" s="11" t="s">
        <v>110</v>
      </c>
      <c r="U2" s="10"/>
    </row>
    <row r="3" spans="1:21" ht="159.75" customHeight="1" x14ac:dyDescent="0.35">
      <c r="A3" s="27">
        <v>2</v>
      </c>
      <c r="B3" s="27" t="s">
        <v>100</v>
      </c>
      <c r="C3" s="27" t="s">
        <v>166</v>
      </c>
      <c r="D3" s="27" t="s">
        <v>167</v>
      </c>
      <c r="E3" s="27" t="s">
        <v>168</v>
      </c>
      <c r="F3" s="27" t="s">
        <v>104</v>
      </c>
      <c r="G3" s="27">
        <v>7</v>
      </c>
      <c r="H3" s="27">
        <v>9</v>
      </c>
      <c r="I3" s="25">
        <v>63</v>
      </c>
      <c r="J3" s="26" t="s">
        <v>105</v>
      </c>
      <c r="K3" s="27" t="s">
        <v>169</v>
      </c>
      <c r="L3" s="27" t="s">
        <v>170</v>
      </c>
      <c r="M3" s="27" t="s">
        <v>108</v>
      </c>
      <c r="O3" s="35" t="s">
        <v>111</v>
      </c>
      <c r="P3" s="8"/>
      <c r="Q3" s="8"/>
      <c r="R3" s="9"/>
      <c r="S3" s="12"/>
      <c r="T3" s="11" t="s">
        <v>113</v>
      </c>
      <c r="U3" s="11" t="s">
        <v>112</v>
      </c>
    </row>
    <row r="4" spans="1:21" ht="139.5" x14ac:dyDescent="0.35">
      <c r="A4" s="27">
        <v>3</v>
      </c>
      <c r="B4" s="27" t="s">
        <v>100</v>
      </c>
      <c r="C4" s="27" t="s">
        <v>114</v>
      </c>
      <c r="D4" s="27" t="s">
        <v>115</v>
      </c>
      <c r="E4" s="27" t="s">
        <v>116</v>
      </c>
      <c r="F4" s="27" t="s">
        <v>117</v>
      </c>
      <c r="G4" s="27">
        <v>9</v>
      </c>
      <c r="H4" s="27">
        <v>8</v>
      </c>
      <c r="I4" s="25">
        <f>G4*H4</f>
        <v>72</v>
      </c>
      <c r="J4" s="26" t="s">
        <v>105</v>
      </c>
      <c r="K4" s="27" t="s">
        <v>118</v>
      </c>
      <c r="L4" s="27" t="s">
        <v>119</v>
      </c>
      <c r="M4" s="27" t="s">
        <v>108</v>
      </c>
      <c r="O4" s="35" t="s">
        <v>120</v>
      </c>
      <c r="P4" s="8"/>
      <c r="Q4" s="8"/>
      <c r="R4" s="9"/>
      <c r="S4" s="9"/>
      <c r="T4" s="9"/>
      <c r="U4" s="10"/>
    </row>
    <row r="5" spans="1:21" x14ac:dyDescent="0.35">
      <c r="O5" s="35" t="s">
        <v>121</v>
      </c>
      <c r="P5" s="8"/>
      <c r="Q5" s="8"/>
      <c r="R5" s="8"/>
      <c r="S5" s="8"/>
      <c r="T5" s="9"/>
      <c r="U5" s="9"/>
    </row>
    <row r="6" spans="1:21" x14ac:dyDescent="0.35">
      <c r="O6" s="35" t="s">
        <v>122</v>
      </c>
      <c r="P6" s="8"/>
      <c r="Q6" s="8"/>
      <c r="R6" s="8"/>
      <c r="S6" s="8"/>
      <c r="T6" s="8"/>
      <c r="U6" s="8"/>
    </row>
    <row r="7" spans="1:21" x14ac:dyDescent="0.35">
      <c r="O7" s="36"/>
    </row>
    <row r="8" spans="1:21" ht="18" x14ac:dyDescent="0.4">
      <c r="O8" s="34" t="s">
        <v>123</v>
      </c>
      <c r="S8" s="2" t="s">
        <v>124</v>
      </c>
    </row>
    <row r="9" spans="1:21" x14ac:dyDescent="0.35">
      <c r="O9" s="36" t="s">
        <v>125</v>
      </c>
      <c r="S9" s="37" t="s">
        <v>126</v>
      </c>
    </row>
    <row r="10" spans="1:21" x14ac:dyDescent="0.35">
      <c r="O10" s="36" t="s">
        <v>127</v>
      </c>
      <c r="S10" s="38" t="s">
        <v>128</v>
      </c>
    </row>
    <row r="11" spans="1:21" x14ac:dyDescent="0.35">
      <c r="O11" s="36" t="s">
        <v>129</v>
      </c>
      <c r="S11" s="39" t="s">
        <v>130</v>
      </c>
    </row>
    <row r="12" spans="1:21" x14ac:dyDescent="0.35">
      <c r="O12" s="36" t="s">
        <v>131</v>
      </c>
    </row>
  </sheetData>
  <autoFilter ref="A1:M4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tabSelected="1" topLeftCell="A10" zoomScaleNormal="100" workbookViewId="0">
      <selection activeCell="A19" sqref="A19"/>
    </sheetView>
  </sheetViews>
  <sheetFormatPr defaultColWidth="8.6328125" defaultRowHeight="17.5" x14ac:dyDescent="0.35"/>
  <cols>
    <col min="1" max="1" width="4" style="5" customWidth="1"/>
    <col min="2" max="2" width="30.36328125" style="5" customWidth="1"/>
    <col min="3" max="8" width="18" style="5" customWidth="1"/>
    <col min="9" max="16384" width="8.6328125" style="5"/>
  </cols>
  <sheetData>
    <row r="1" spans="1:8" ht="18" x14ac:dyDescent="0.4">
      <c r="A1" s="17" t="s">
        <v>132</v>
      </c>
      <c r="B1" s="18"/>
      <c r="C1" s="18"/>
      <c r="D1" s="18"/>
      <c r="E1" s="18"/>
      <c r="F1" s="18"/>
      <c r="G1" s="18"/>
      <c r="H1" s="18"/>
    </row>
    <row r="3" spans="1:8" ht="15" customHeight="1" x14ac:dyDescent="0.4">
      <c r="C3" s="24" t="s">
        <v>133</v>
      </c>
      <c r="D3" s="18"/>
      <c r="E3" s="18"/>
      <c r="F3" s="18"/>
      <c r="G3" s="18"/>
      <c r="H3" s="18"/>
    </row>
    <row r="4" spans="1:8" ht="36" x14ac:dyDescent="0.35">
      <c r="C4" s="4" t="s">
        <v>134</v>
      </c>
      <c r="D4" s="4" t="s">
        <v>135</v>
      </c>
      <c r="E4" s="4" t="s">
        <v>136</v>
      </c>
      <c r="F4" s="4" t="s">
        <v>137</v>
      </c>
      <c r="G4" s="4" t="s">
        <v>138</v>
      </c>
      <c r="H4" s="4" t="s">
        <v>139</v>
      </c>
    </row>
    <row r="5" spans="1:8" ht="39.75" customHeight="1" x14ac:dyDescent="0.35">
      <c r="A5" s="23" t="s">
        <v>140</v>
      </c>
      <c r="B5" s="16" t="s">
        <v>109</v>
      </c>
      <c r="C5" s="41">
        <v>9</v>
      </c>
      <c r="D5" s="41">
        <v>18</v>
      </c>
      <c r="E5" s="44">
        <v>36</v>
      </c>
      <c r="F5" s="45">
        <v>54</v>
      </c>
      <c r="G5" s="46" t="s">
        <v>110</v>
      </c>
      <c r="H5" s="45">
        <v>81</v>
      </c>
    </row>
    <row r="6" spans="1:8" ht="39.75" customHeight="1" x14ac:dyDescent="0.35">
      <c r="A6" s="18"/>
      <c r="B6" s="16" t="s">
        <v>111</v>
      </c>
      <c r="C6" s="47">
        <v>7</v>
      </c>
      <c r="D6" s="41">
        <v>14</v>
      </c>
      <c r="E6" s="44">
        <v>28</v>
      </c>
      <c r="F6" s="43">
        <v>42</v>
      </c>
      <c r="G6" s="11" t="s">
        <v>113</v>
      </c>
      <c r="H6" s="42" t="s">
        <v>112</v>
      </c>
    </row>
    <row r="7" spans="1:8" ht="39.75" customHeight="1" x14ac:dyDescent="0.35">
      <c r="A7" s="18"/>
      <c r="B7" s="16" t="s">
        <v>120</v>
      </c>
      <c r="C7" s="41">
        <v>5</v>
      </c>
      <c r="D7" s="41">
        <v>10</v>
      </c>
      <c r="E7" s="44">
        <v>20</v>
      </c>
      <c r="F7" s="44">
        <v>30</v>
      </c>
      <c r="G7" s="44">
        <v>40</v>
      </c>
      <c r="H7" s="45">
        <v>45</v>
      </c>
    </row>
    <row r="8" spans="1:8" ht="39.75" customHeight="1" x14ac:dyDescent="0.35">
      <c r="A8" s="18"/>
      <c r="B8" s="16" t="s">
        <v>121</v>
      </c>
      <c r="C8" s="41">
        <v>3</v>
      </c>
      <c r="D8" s="41">
        <v>6</v>
      </c>
      <c r="E8" s="41">
        <v>12</v>
      </c>
      <c r="F8" s="41">
        <v>18</v>
      </c>
      <c r="G8" s="44">
        <v>24</v>
      </c>
      <c r="H8" s="44">
        <v>27</v>
      </c>
    </row>
    <row r="9" spans="1:8" ht="39.75" customHeight="1" x14ac:dyDescent="0.35">
      <c r="A9" s="18"/>
      <c r="B9" s="16" t="s">
        <v>122</v>
      </c>
      <c r="C9" s="41">
        <v>1</v>
      </c>
      <c r="D9" s="41">
        <v>2</v>
      </c>
      <c r="E9" s="41">
        <v>4</v>
      </c>
      <c r="F9" s="41">
        <v>6</v>
      </c>
      <c r="G9" s="41">
        <v>8</v>
      </c>
      <c r="H9" s="41">
        <v>9</v>
      </c>
    </row>
    <row r="11" spans="1:8" ht="18" x14ac:dyDescent="0.4">
      <c r="B11" s="2" t="s">
        <v>141</v>
      </c>
      <c r="E11" s="2" t="s">
        <v>142</v>
      </c>
    </row>
    <row r="12" spans="1:8" x14ac:dyDescent="0.35">
      <c r="B12" s="13" t="s">
        <v>143</v>
      </c>
      <c r="E12" s="3" t="s">
        <v>144</v>
      </c>
    </row>
    <row r="13" spans="1:8" x14ac:dyDescent="0.35">
      <c r="B13" s="14" t="s">
        <v>145</v>
      </c>
      <c r="E13" s="40" t="s">
        <v>171</v>
      </c>
    </row>
    <row r="14" spans="1:8" x14ac:dyDescent="0.35">
      <c r="B14" s="15" t="s">
        <v>146</v>
      </c>
      <c r="E14" s="3" t="s">
        <v>147</v>
      </c>
    </row>
    <row r="16" spans="1:8" ht="18" x14ac:dyDescent="0.4">
      <c r="B16" s="2" t="s">
        <v>123</v>
      </c>
    </row>
    <row r="17" spans="2:2" ht="15" customHeight="1" x14ac:dyDescent="0.35">
      <c r="B17" s="3" t="s">
        <v>148</v>
      </c>
    </row>
  </sheetData>
  <mergeCells count="3">
    <mergeCell ref="A5:A9"/>
    <mergeCell ref="A1:H1"/>
    <mergeCell ref="C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Statement</vt:lpstr>
      <vt:lpstr>KRI Framework</vt:lpstr>
      <vt:lpstr>RiskCalculationSheet</vt:lpstr>
      <vt:lpstr>RiskRegister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Mathai</cp:lastModifiedBy>
  <cp:revision>0</cp:revision>
  <dcterms:created xsi:type="dcterms:W3CDTF">2026-03-02T06:23:39Z</dcterms:created>
  <dcterms:modified xsi:type="dcterms:W3CDTF">2026-03-04T04:04:43Z</dcterms:modified>
  <dc:language>en-US</dc:language>
</cp:coreProperties>
</file>