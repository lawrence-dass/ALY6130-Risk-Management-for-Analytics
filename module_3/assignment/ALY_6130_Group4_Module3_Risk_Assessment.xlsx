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awrence/Downloads/"/>
    </mc:Choice>
  </mc:AlternateContent>
  <xr:revisionPtr revIDLastSave="0" documentId="13_ncr:1_{F5F70F85-D811-5744-BE7D-7112C4EE8B3F}" xr6:coauthVersionLast="47" xr6:coauthVersionMax="47" xr10:uidLastSave="{00000000-0000-0000-0000-000000000000}"/>
  <bookViews>
    <workbookView xWindow="34560" yWindow="740" windowWidth="38400" windowHeight="21600" tabRatio="500" activeTab="4" xr2:uid="{00000000-000D-0000-FFFF-FFFF00000000}"/>
  </bookViews>
  <sheets>
    <sheet name="Problem Statement" sheetId="1" r:id="rId1"/>
    <sheet name="KRI Framework" sheetId="2" r:id="rId2"/>
    <sheet name="RiskCalculationSheet" sheetId="3" r:id="rId3"/>
    <sheet name="RiskRegister" sheetId="4" r:id="rId4"/>
    <sheet name="Heatmap" sheetId="5" r:id="rId5"/>
  </sheets>
  <definedNames>
    <definedName name="_xlnm._FilterDatabase" localSheetId="3" hidden="1">RiskRegister!$A$1:$M$26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4" l="1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<sst xmlns="http://schemas.openxmlformats.org/spreadsheetml/2006/main" count="513" uniqueCount="398">
  <si>
    <t>Problem Statement: Competitive Risks for ServiceNow's Acquisition of Armis</t>
  </si>
  <si>
    <t>Company: ServiceNow (NYSE: NOW) | Scenario: Strategic Expansion via $7.75B Acquisition of Armis</t>
  </si>
  <si>
    <t>Industry: Enterprise Cybersecurity / OT-IoT Security</t>
  </si>
  <si>
    <t>Risk #</t>
  </si>
  <si>
    <t>Risk Type</t>
  </si>
  <si>
    <t>Competitive Pressure (from SWOT)</t>
  </si>
  <si>
    <t>Problem Statement</t>
  </si>
  <si>
    <t>Why Monitoring Is Required Now</t>
  </si>
  <si>
    <t>SWOT Source</t>
  </si>
  <si>
    <t>Negative (Strategic)</t>
  </si>
  <si>
    <t>Intensifying competition from well-funded rival mega-acquisitions creating integrated security platforms (Google/Wiz at $32B, Palo Alto Networks/CyberArk at $25B, Cisco/Splunk at $28B) with direct OT/IoT capabilities</t>
  </si>
  <si>
    <t>The risk of competitive displacement in the OT/IoT security market caused by rival mega-acquisitions (Google/Wiz, Palo Alto/CyberArk, Cisco/Splunk) forming fully integrated cybersecurity platforms, resulting in reduced deal win rates, market share erosion, and weakened return on ServiceNow’s $7.75B acquisition investment</t>
  </si>
  <si>
    <t>All three rival mega-acquisitions closed in 2025 and are actively integrating capabilities ahead of ServiceNow’s expected late-2026 integration timeline. This creates a strategic vulnerability window during 2026 enterprise budget cycles, where customers may consolidate around already-integrated security platforms. Early displacement during this integration phase would directly threaten revenue realization, competitive positioning, and the return on ServiceNow’s $7.75B acquisition investment</t>
  </si>
  <si>
    <t>Threats #1</t>
  </si>
  <si>
    <t>Negative (Strategic / Competitive)</t>
  </si>
  <si>
    <t>Intensifying AI-driven platform convergence among hyperscale and security-native competitors embedding advanced automation, analytics, and detection capabilities into unified security ecosystems</t>
  </si>
  <si>
    <t>The risk of platform relevance erosion caused by competitors embedding advanced AI-driven detection, automation, and analytics capabilities directly into integrated security ecosystems, resulting in diminished differentiation of the ServiceNow-Armis workflow-centric approach and reduced long-term competitive positioning</t>
  </si>
  <si>
    <t>Major competitors are accelerating AI-native security integration across cloud, identity, network, and OT environments. As enterprise buyers increasingly prioritize AI-enabled automation and unified data platforms, ServiceNow-Armis must demonstrate comparable innovation velocity. Failure to keep pace may permanently shift competitive perception from pricing disadvantage to structural technology disadvantage</t>
  </si>
  <si>
    <t>Positive (Strategic Opportunity)</t>
  </si>
  <si>
    <t>Regulatory tailwinds from CMMC, EU NIS2 Directive, CIRCIA, and updated HIPAA rules creating mandatory compliance demand for asset visibility and risk management capabilities</t>
  </si>
  <si>
    <t>The opportunity for accelerated revenue growth and market expansion caused by regulatory mandates (CMMC, EU NIS2, CIRCIA, HIPAA updates) requiring mandatory cybersecurity visibility and compliance capabilities, resulting in expanded compliance-driven pipeline and strengthened positioning in regulated industry segments</t>
  </si>
  <si>
    <t>Regulatory enforcement timelines for CMMC, EU NIS2, CIRCIA, and HIPAA updates are already underway, driving immediate compliance investment decisions across defense, manufacturing, healthcare, and critical infrastructure sectors. Because compliance-driven spending is less discretionary than innovation spending, this demand surge represents a time-sensitive competitive advantage opportunity. Monitoring ensures ServiceNow-Armis captures regulatory-driven pipeline early and establishes positioning before competitors frame themselves as the default compliance platform in regulated industries.</t>
  </si>
  <si>
    <t>Opportunities #2</t>
  </si>
  <si>
    <t>Rapid consolidation of the cybersecurity market through large-scale acquisitions by hyperscale technology firms</t>
  </si>
  <si>
    <t>The risk of reduced competitive positioning caused by continued consolidation in the enterprise cybersecurity market, resulting in fewer independent competitors and stronger integrated security ecosystems that may outcompete ServiceNow-Armis on platform breadth</t>
  </si>
  <si>
    <t>The cybersecurity industry experienced several major acquisitions exceeding $25B in 2025. Continued consolidation could significantly shift competitive dynamics and reduce the market share available to ServiceNow-Armis</t>
  </si>
  <si>
    <t>Negative (Financial)</t>
  </si>
  <si>
    <t>High valuation multiple for the Armis acquisition</t>
  </si>
  <si>
    <t>The risk of acquisition overvaluation caused by paying a high revenue multiple for Armis, resulting in financial pressure if revenue growth slows or expected synergies are delayed.</t>
  </si>
  <si>
    <t>The acquisition represents the largest deal in ServiceNow’s history and introduces significant financial exposure that must be justified through accelerated revenue growth</t>
  </si>
  <si>
    <t>Weaknesses #2</t>
  </si>
  <si>
    <t>Negative (Operational)</t>
  </si>
  <si>
    <t>Integration complexity due to multiple acquisitions</t>
  </si>
  <si>
    <t>The risk of integration complexity caused by simultaneous integration of multiple acquisitions alongside Armis, resulting in delayed product integration, operational inefficiencies, and reduced organizational focus.</t>
  </si>
  <si>
    <t>ServiceNow completed several acquisitions recently, increasing the integration burden on engineering and product teams</t>
  </si>
  <si>
    <t>Weaknesses #1</t>
  </si>
  <si>
    <t>Negative (Technology)</t>
  </si>
  <si>
    <t>Technical architecture mismatch between ServiceNow and Armis</t>
  </si>
  <si>
    <t>The risk of technology architecture incompatibility caused by differences between ServiceNow’s CMDB data model and Armis’s asset intelligence architecture, resulting in delays in achieving bidirectional data integration</t>
  </si>
  <si>
    <t>Integration work must occur simultaneously with ServiceNow’s ongoing platform architecture modernization program</t>
  </si>
  <si>
    <t>Weaknesses #3</t>
  </si>
  <si>
    <t>Global cybersecurity workforce shortage increasing competition for skilled security engineers.</t>
  </si>
  <si>
    <t>The risk of talent shortages caused by the global cybersecurity workforce gap, resulting in limited ability to scale product development and integration efforts</t>
  </si>
  <si>
    <t>The cybersecurity industry currently faces a large workforce shortage, increasing competition for skilled professionals</t>
  </si>
  <si>
    <t>Opportunities #1</t>
  </si>
  <si>
    <t>Organizational change following acquisition</t>
  </si>
  <si>
    <t>The risk of change management challenges caused by organizational restructuring following the acquisition, resulting in employee turnover and reduced productivity</t>
  </si>
  <si>
    <t>Large acquisitions frequently create cultural integration challenges that can impact operational performance</t>
  </si>
  <si>
    <t>Data accuracy and asset visibility limitations</t>
  </si>
  <si>
    <t>The risk of data accuracy limitations caused by incomplete asset discovery or misclassified devices, resulting in inaccurate risk visibility for enterprise customers</t>
  </si>
  <si>
    <t>Customers rely heavily on accurate asset visibility to meet compliance and cybersecurity monitoring requirements</t>
  </si>
  <si>
    <t>Infrastructure integration challenges between ServiceNow and Armis systems</t>
  </si>
  <si>
    <t>The risk of system downtime caused by infrastructure integration challenges, resulting in service disruptions for enterprise customers</t>
  </si>
  <si>
    <t>Service reliability is critical for enterprise cybersecurity platforms managing critical infrastructure environments</t>
  </si>
  <si>
    <t>Negative (Security)</t>
  </si>
  <si>
    <t>Security vulnerabilities during integration</t>
  </si>
  <si>
    <t>The risk of cybersecurity breaches during the integration phase caused by merging identity and access management systems, resulting in exposure of sensitive enterprise asset data</t>
  </si>
  <si>
    <t>M&amp;A integration periods are frequently targeted by cyber attackers due to temporary security gaps</t>
  </si>
  <si>
    <t>Threats #3</t>
  </si>
  <si>
    <t>Rapid evolution of AI security technologies</t>
  </si>
  <si>
    <t>The risk of technology obsolescence caused by rapid innovation in AI‑driven security technologies, resulting in reduced competitiveness of traditional asset discovery approaches</t>
  </si>
  <si>
    <t>The cybersecurity industry is evolving rapidly toward AI‑native detection and automated response capabilities</t>
  </si>
  <si>
    <t>Negative (Regulatory)</t>
  </si>
  <si>
    <t>Complex global cybersecurity regulations</t>
  </si>
  <si>
    <t>The risk of regulatory compliance complexity caused by operating across multiple jurisdictions, resulting in increased compliance costs and operational constraints</t>
  </si>
  <si>
    <t>Cybersecurity regulations continue to expand globally, increasing compliance requirements for security vendors</t>
  </si>
  <si>
    <t>Threats #2</t>
  </si>
  <si>
    <t>Negative (Legal)</t>
  </si>
  <si>
    <t>Legal liabilities from compliance failures</t>
  </si>
  <si>
    <t>The risk of legal liability caused by non‑compliance with evolving cybersecurity regulations, resulting in financial penalties or reputational damage</t>
  </si>
  <si>
    <t>Stricter regulatory enforcement is increasing legal exposure for cybersecurity technology providers</t>
  </si>
  <si>
    <t>Infrastructure and cloud cost expansion</t>
  </si>
  <si>
    <t>The risk of increased operational costs caused by scaling infrastructure and cloud services required to support the combined platform</t>
  </si>
  <si>
    <t>Platform expansion requires additional infrastructure investment and operational spending</t>
  </si>
  <si>
    <t>Customer migration to competing platforms</t>
  </si>
  <si>
    <t>The risk of customer migration caused by competitors offering bundled security solutions integrated with existing enterprise platforms</t>
  </si>
  <si>
    <t>Platform consolidation is becoming a key factor in enterprise cybersecurity purchasing decisions</t>
  </si>
  <si>
    <t>Negative (Market)</t>
  </si>
  <si>
    <t>Economic slowdown reducing enterprise cybersecurity spending growth</t>
  </si>
  <si>
    <t>The risk of reduced cybersecurity spending caused by economic slowdown and enterprise budget optimization, resulting in delayed purchasing decisions</t>
  </si>
  <si>
    <t>Economic uncertainty may influence enterprise IT investment priorities</t>
  </si>
  <si>
    <t>Rapid growth of OT and IoT security market</t>
  </si>
  <si>
    <t>The opportunity for accelerated market expansion caused by increasing demand for OT and IoT security solutions</t>
  </si>
  <si>
    <t>Industry forecasts project strong growth in this market segment over the next several years</t>
  </si>
  <si>
    <t>Cross‑selling opportunities within ServiceNow customer base</t>
  </si>
  <si>
    <t>The opportunity for revenue expansion caused by cross‑selling Armis capabilities across ServiceNow’s existing enterprise customers</t>
  </si>
  <si>
    <t>ServiceNow serves thousands of enterprise customers globally who may adopt the combined platform</t>
  </si>
  <si>
    <t>Opportunities #3</t>
  </si>
  <si>
    <t>Negative (Operational – Low Risk)</t>
  </si>
  <si>
    <t>Minor delays in internal process alignment between ServiceNow and Armis operational teams</t>
  </si>
  <si>
    <t>The risk of minor operational inefficiencies caused by differences in internal workflows and support processes between ServiceNow and Armis teams, resulting in temporary coordination delays during early integration phases</t>
  </si>
  <si>
    <t>While operational alignment challenges are common in acquisitions, ServiceNow has extensive M&amp;A integration experience and mature governance structures. Monitoring ensures that small operational misalignments do not gradually escalate into larger integration inefficiencies</t>
  </si>
  <si>
    <t>Negative (Market – Low Risk)</t>
  </si>
  <si>
    <t>Temporary customer uncertainty during acquisition transition</t>
  </si>
  <si>
    <t>The risk of short-term customer hesitation caused by uncertainty during the acquisition transition period, resulting in temporary delays in purchasing or renewal decisions</t>
  </si>
  <si>
    <t>Customer uncertainty is common during acquisitions, but ServiceNow’s strong enterprise reputation and existing customer relationships reduce the likelihood of significant revenue disruption. Monitoring helps identify any emerging customer concerns early</t>
  </si>
  <si>
    <t>Major cybersecurity firms such as Palo Alto Networks, Microsoft, Cisco, and Google are expanding integrated cybersecurity platforms through acquisitions and AI-enabled security solutions</t>
  </si>
  <si>
    <t>The risk of increased competitive pressure reducing ServiceNow’s market share caused by rapid consolidation in the cybersecurity industry and aggressive innovation from well-funded competitors resulting in slower adoption of the combined ServiceNow–Armis platform and reduced revenue growth</t>
  </si>
  <si>
    <t>The cybersecurity industry is experiencing rapid consolidation with multi-billion-dollar acquisitions and platform integrations. If ServiceNow cannot quickly deliver differentiated capabilities after the acquisition, competitors may capture enterprise customers first</t>
  </si>
  <si>
    <t>Negative (Technology / Innovation)</t>
  </si>
  <si>
    <t>Competitors are investing heavily in AI-native cybersecurity solutions and advanced threat detection platforms</t>
  </si>
  <si>
    <t>The risk that competing cybersecurity platforms may develop more advanced AI-driven security capabilities than the ServiceNow–Armis platform resulting in reduced product competitiveness and lower enterprise adoption</t>
  </si>
  <si>
    <t>AI-driven security technologies are evolving rapidly and competitors are investing heavily in automation and threat detection, which may accelerate innovation cycles across the industry</t>
  </si>
  <si>
    <t>Negative (Financial / Strategic)</t>
  </si>
  <si>
    <t>Large investments by competitors are increasing competition for enterprise cybersecurity contracts</t>
  </si>
  <si>
    <t>The risk that ServiceNow may not achieve the expected return on its $7.75 billion Armis acquisition if competitors capture market share faster resulting in slower revenue growth and reduced return on investment</t>
  </si>
  <si>
    <t>The acquisition represents the largest deal in ServiceNow’s history and must generate significant growth to justify the premium valuation</t>
  </si>
  <si>
    <t>Weakness / Threat</t>
  </si>
  <si>
    <t>Key Risk Indicator (KRI) Framework: Competitive Risks</t>
  </si>
  <si>
    <t>Each risk is assigned one leading indicator with Green/Amber/Red thresholds for escalation.</t>
  </si>
  <si>
    <t>Risk Description (Summary)</t>
  </si>
  <si>
    <t>KRI Metric (Leading Indicator)</t>
  </si>
  <si>
    <t>Measurement Method &amp; Frequency</t>
  </si>
  <si>
    <t>Green (Optimized)</t>
  </si>
  <si>
    <t>Amber (Warning)</t>
  </si>
  <si>
    <t>Red (Critical)</t>
  </si>
  <si>
    <t>Strategic displacement by rival mega-acquisition platforms (Google/Wiz, Palo Alto/CyberArk, Cisco/Splunk)</t>
  </si>
  <si>
    <t>Competitive Win Rate in OT/IoT Deals</t>
  </si>
  <si>
    <t>Track the percentage of qualified OT/IoT security opportunities where ServiceNow-Armis is selected over competing integrated platforms. Data sourced from CRM pipeline reporting, win/loss analysis interviews, and quarterly deal reviews. Measured monthly with quarterly trend analysis.</t>
  </si>
  <si>
    <t>Win rate remains above 35% against integrated platform competitors. ServiceNow-Armis is shortlisted in &gt;60% of qualified opportunities.</t>
  </si>
  <si>
    <t>Win rate drops to 25-35% against integrated competitors. Shortlist inclusion declines to 45-60%. Two or more strategic accounts lost to a single rival platform in a quarter.</t>
  </si>
  <si>
    <t>Win rate falls below 25%. Shortlist inclusion drops below 45%. Pattern of losses indicates systemic competitive disadvantage requiring immediate strategic review and product acceleration.</t>
  </si>
  <si>
    <t>Strategic platform relevance erosion due to AI-driven security convergence among hyperscale and security-native competitors.</t>
  </si>
  <si>
    <t>AI Capability Gap Index (Competitive Feature Parity Score)</t>
  </si>
  <si>
    <t>Track the number of advanced AI-driven detection, automation, and analytics capabilities announced or released by top competitors (Microsoft, Palo Alto, Google) relative to ServiceNow-Armis releases in comparable domains. Data sourced from quarterly product release notes, analyst reports (Gartner/Forrester), and roadmap benchmarking. Measured quarterly.</t>
  </si>
  <si>
    <t>ServiceNow-Armis maintains ≥85% feature parity relative to predefined competitive AI capability benchmark set. No critical AI capability gap persists beyond one quarter.</t>
  </si>
  <si>
    <t>Feature parity declines to 70–84% relative to benchmark set for one quarter. One or more high-impact AI capabilities released by competitors remain unmatched after one quarter.</t>
  </si>
  <si>
    <t>Feature parity falls below 70% for two consecutive quarters. Competitive losses or analyst evaluations explicitly cite AI innovation gap as primary decision driver.</t>
  </si>
  <si>
    <t>Regulatory tailwinds (CMMC, NIS2, CIRCIA, HIPAA) driving mandatory demand for combined platform</t>
  </si>
  <si>
    <t>Regulatory-Driven Pipeline Growth Rate</t>
  </si>
  <si>
    <t>Track the quarter-over-quarter growth rate of new pipeline specifically attributed to regulatory compliance requirements (CMMC, NIS2, CIRCIA, HIPAA). Sourced from CRM opportunity tagging where primary buying trigger is regulatory compliance. Measured quarterly.</t>
  </si>
  <si>
    <t>Regulatory-driven pipeline growing &gt;25% QoQ. Compliance use cases represent &gt;30% of new pipeline value. Win rates in compliance-driven deals exceed 40%.</t>
  </si>
  <si>
    <t>Regulatory-driven pipeline growth slows to 10-25% QoQ. Compliance pipeline share drops to 20-30%. Competitors gaining traction in compliance positioning.</t>
  </si>
  <si>
    <t>Regulatory-driven pipeline growth below 10% QoQ or declining. Compliance share below 20%. Competitors have launched dedicated compliance bundles customers are selecting instead.</t>
  </si>
  <si>
    <t>Probability of Occurrence</t>
  </si>
  <si>
    <t>Very Unlikely</t>
  </si>
  <si>
    <t>Somewhat Unlikely</t>
  </si>
  <si>
    <t>50-50 Possibility</t>
  </si>
  <si>
    <t>Somewhat Likely</t>
  </si>
  <si>
    <t>Very Likely</t>
  </si>
  <si>
    <t>Impact of Risk: defined as the impact to the firm before the controls (Inherent Risk)</t>
  </si>
  <si>
    <t>Financial</t>
  </si>
  <si>
    <t>Operational</t>
  </si>
  <si>
    <t>Competitive Risks</t>
  </si>
  <si>
    <t>Reputational</t>
  </si>
  <si>
    <t>Technical</t>
  </si>
  <si>
    <t>Legal/Compliance</t>
  </si>
  <si>
    <t>Very Low</t>
  </si>
  <si>
    <t>Minimal cost variance under $5M; negligible impact on quarterly earnings</t>
  </si>
  <si>
    <t>Minor workflow disruption; no customer-facing impact; resolved within standard SLA</t>
  </si>
  <si>
    <t>No measurable change in competitive win rates or market positioning</t>
  </si>
  <si>
    <t>No external awareness; contained within internal teams</t>
  </si>
  <si>
    <t>Minor Service Graph Connector latency; no integration milestone delay</t>
  </si>
  <si>
    <t>Routine compliance documentation update; no regulatory inquiry</t>
  </si>
  <si>
    <t>Somewhat Low</t>
  </si>
  <si>
    <t>Cost impact of $5-25M; slight margin compression but within quarterly guidance</t>
  </si>
  <si>
    <t>Limited delays in integration milestones; workarounds available for affected teams</t>
  </si>
  <si>
    <t>Marginal shift in competitive positioning; single deal loss attributable to competitor action</t>
  </si>
  <si>
    <t>Limited coverage in trade press; no Fortune 500 customer concern raised</t>
  </si>
  <si>
    <t>Integration test failures requiring sprint-level rework; no data integrity issue</t>
  </si>
  <si>
    <t>Regulatory inquiry with no formal action; internal audit finding requiring remediation</t>
  </si>
  <si>
    <t>Moderate</t>
  </si>
  <si>
    <t>Significant cost of $25-100M; potential for guidance revision in upcoming quarter</t>
  </si>
  <si>
    <t>Notable disruption to Armis integration timeline; 1-3 month delay in key capability delivery</t>
  </si>
  <si>
    <t>Measurable decline in OT/IoT deal win rates; 2-3 strategic accounts evaluating competitor alternatives</t>
  </si>
  <si>
    <t>Sustained negative coverage in cybersecurity trade press; analyst downgrades on integration execution</t>
  </si>
  <si>
    <t>Bidirectional integration delayed &gt;6 months; customer-facing feature degradation</t>
  </si>
  <si>
    <t>Formal regulatory investigation; FedRAMP re-authorization timeline extended beyond 18 months</t>
  </si>
  <si>
    <t>Somewhat High</t>
  </si>
  <si>
    <t>Major financial impact of $100-500M; potential goodwill impairment review triggered</t>
  </si>
  <si>
    <t>Major disruption requiring re-scoping of integration plan; key capability delivery delayed &gt;6 months</t>
  </si>
  <si>
    <t>Loss of 5+ strategic accounts to rival platforms; measurable market share decline in OT/IoT segment; emerging perception of AI capability gap in analyst or customer evaluations.</t>
  </si>
  <si>
    <t>National media coverage questioning acquisition rationale; shareholder activist engagement</t>
  </si>
  <si>
    <t>Platform instability affecting production customer environments; emergency engineering response</t>
  </si>
  <si>
    <t>Compliance violation resulting in regulatory fines; federal contract suspension pending re-authorization</t>
  </si>
  <si>
    <t>High</t>
  </si>
  <si>
    <t>Severe financial loss of $500M-$1B; material goodwill impairment write-down required</t>
  </si>
  <si>
    <t>Critical integration failure requiring fundamental re-architecture; leadership restructuring</t>
  </si>
  <si>
    <t>Significant market share loss; competitor platform becomes industry standard in AI-driven security capabilities across target segments.</t>
  </si>
  <si>
    <t>Sustained reputation damage affecting customer retention and recruiting; board-level crisis management</t>
  </si>
  <si>
    <t>Critical platform failure; customer data integrity compromised; emergency remediation across environments</t>
  </si>
  <si>
    <t>Major regulatory sanctions; loss of FedRAMP or DISA authorization; defense contract termination</t>
  </si>
  <si>
    <t>Extremely High</t>
  </si>
  <si>
    <t>Existential financial impact &gt;$1B; full goodwill write-off of $7.75B acquisition value</t>
  </si>
  <si>
    <t>Complete integration failure; Armis divestiture or write-down under consideration</t>
  </si>
  <si>
    <t>Fundamental competitive threat; ServiceNow displaced from enterprise security market due to structural technology and platform disadvantage relative to rival ecosystems.</t>
  </si>
  <si>
    <t>Irreparable brand damage to ServiceNow's platform credibility; C-suite departures</t>
  </si>
  <si>
    <t>Total platform failure affecting billions of monitored devices across Fortune 100 customers</t>
  </si>
  <si>
    <t>Criminal investigation or license revocation; permanent loss of federal authorization to operate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</si>
  <si>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</si>
  <si>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</si>
  <si>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</si>
  <si>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</si>
  <si>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</si>
  <si>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</si>
  <si>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</si>
  <si>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</si>
  <si>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</si>
  <si>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</si>
  <si>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</si>
  <si>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</si>
  <si>
    <t>Likelihood/Impact</t>
  </si>
  <si>
    <t>2026-03-02</t>
  </si>
  <si>
    <t>The risk of competitive displacement in the OT/IoT security market by rival integrated platforms</t>
  </si>
  <si>
    <t>Caused by three rival mega-acquisitions in 2025 (Google/Wiz at $32B, Palo Alto/CyberArk at $25B, Cisco/Splunk at $28B) creating competing integrated security platforms with direct OT/IoT capabilities</t>
  </si>
  <si>
    <t>Resulting in a potential 10-15% decline in OT/IoT deal win rates as customers evaluate rival platforms that may complete integration faster, loss of strategic enterprise accounts during ServiceNow's 12-18 month integration window, and risk of failing to achieve the cross-sell revenue targets needed to justify the $7.75B acquisition price</t>
  </si>
  <si>
    <t>Strategic / Competitive</t>
  </si>
  <si>
    <t>H</t>
  </si>
  <si>
    <t>Accelerate ServiceNow's unique single-platform value proposition combining ITSM workflow automation with Armis asset intelligence; leverage 8,800+ enterprise customer base and 85% Fortune 500 penetration for targeted cross-sell; prioritize differentiated use cases such as automated vulnerability remediation workflows; establish competitive intelligence team tracking rival integration progress</t>
  </si>
  <si>
    <t>Chief Strategy Officer / CRO</t>
  </si>
  <si>
    <t>Open</t>
  </si>
  <si>
    <t>Very Likely (9)</t>
  </si>
  <si>
    <t>Risk 3</t>
  </si>
  <si>
    <t>The risk of platform relevance erosion in the enterprise security market due to AI-driven platform convergence among hyperscale and security-native competitors</t>
  </si>
  <si>
    <t>Competitors embedding advanced AI-driven detection, automation, and analytics capabilities into integrated security ecosystems across cloud, identity, network, and OT environments</t>
  </si>
  <si>
    <t>Resulting in diminished differentiation of the ServiceNow-Armis workflow-centric approach, reduced competitive positioning in enterprise security evaluations, and potential decline in win rates if AI innovation velocity does not match competitor benchmarks</t>
  </si>
  <si>
    <t>Establish formal AI capability benchmarking against top three competitors; accelerate AI roadmap alignment across detection and automation domains; prioritize AI-enhanced workflow automation use cases; invest in strategic AI partnerships and internal R&amp;D; ensure quarterly competitive feature parity reviews tied to executive performance metrics</t>
  </si>
  <si>
    <t>Chief Product Officer / Chief Strategy Officer</t>
  </si>
  <si>
    <t>Somewhat Likely (7)</t>
  </si>
  <si>
    <t>Risk 15</t>
  </si>
  <si>
    <t>Risk 1
Risk 13
Risk 17
Risk 19
Risk 20</t>
  </si>
  <si>
    <t xml:space="preserve">Risk 2
</t>
  </si>
  <si>
    <t>The risk of accelerated market demand driven by regulatory mandates exceeding ServiceNow-Armis's capacity to capture</t>
  </si>
  <si>
    <t>Caused by multiple concurrent regulatory mandates taking effect in 2025-2026: CMMC (32 CFR Part 170) phasing in DFARS requirements across the defense industrial base, EU NIS2 Directive expanding cybersecurity requirements with board-level personal liability, CIRCIA requiring 72-hour cyber incident reporting, and updated HIPAA rules elevating network segmentation requirements</t>
  </si>
  <si>
    <t>Resulting in an estimated $500M+ incremental pipeline opportunity over 24 months as organizations are compelled to invest in asset visibility regardless of broader budget pressures, with ServiceNow-Armis's existing FedRAMP Moderate, DISA IL5, and KLAS Healthcare IoT authorizations providing pre-qualified access to the highest-value regulated segments where Armis federal business has grown 120%+ year-over-year</t>
  </si>
  <si>
    <t>Strategic Opportunity</t>
  </si>
  <si>
    <t>Build compliance-specific product bundles mapping platform features to CMMC, NIS2, CIRCIA, and HIPAA requirements; develop automated compliance reporting dashboards; establish regulatory advisory partnerships; invest in dedicated federal and healthcare sales teams; pursue additional vertical-specific certifications to expand the competitive moat in regulated markets</t>
  </si>
  <si>
    <t>VP Product / VP Federal &amp; Healthcare Sales</t>
  </si>
  <si>
    <t>50-50 (5)</t>
  </si>
  <si>
    <t>Risk 4
Risk 6
Risk 7
Risk 8
Risk 9
Risk 10
Risk 11
Risk 12
Risk 14
Risk 16
Risk 18
Risk 24</t>
  </si>
  <si>
    <t xml:space="preserve">Risk 5
</t>
  </si>
  <si>
    <t>Risk 23</t>
  </si>
  <si>
    <t>The risk of reduced competitive positioning in the enterprise cybersecurity market due to continued industry consolidation</t>
  </si>
  <si>
    <t>Caused by ongoing large-scale acquisitions among cybersecurity vendors and hyperscale cloud providers building end-to-end security ecosystems</t>
  </si>
  <si>
    <t>Resulting in fewer independent competitors and stronger integrated platforms capable of bundling multiple security capabilities into unified offerings</t>
  </si>
  <si>
    <t>M</t>
  </si>
  <si>
    <t>Strengthen ServiceNow’s differentiation through workflow automation and asset intelligence integration; accelerate ecosystem partnerships; expand integration with leading security tools to position the platform as an orchestration layer across heterogeneous environments</t>
  </si>
  <si>
    <t>Chief Strategy Officer</t>
  </si>
  <si>
    <t>Somewhat Unlikely (3)</t>
  </si>
  <si>
    <t>Risk 22</t>
  </si>
  <si>
    <t>Risk 21</t>
  </si>
  <si>
    <t>Risk 25</t>
  </si>
  <si>
    <t>The risk of acquisition overvaluation affecting expected financial returns from the Armis acquisition</t>
  </si>
  <si>
    <t>Caused by paying a high revenue multiple relative to current revenue levels and future growth assumptions</t>
  </si>
  <si>
    <t>Resulting in financial pressure if projected cross-sell revenue and market expansion targets are not achieved within the planned integration timeline</t>
  </si>
  <si>
    <t>Implement strict post-acquisition performance tracking including revenue synergy milestones, cross-sell adoption metrics, and quarterly integration value realization reporting to executive leadership</t>
  </si>
  <si>
    <t>Chief Financial Officer</t>
  </si>
  <si>
    <t>Very Unlikely (1)</t>
  </si>
  <si>
    <t>The risk of operational inefficiencies during simultaneous integration of multiple acquisitions</t>
  </si>
  <si>
    <t>Caused by engineering and product teams managing several integration initiatives alongside the Armis platform integration</t>
  </si>
  <si>
    <t>Resulting in delays to product roadmap execution, integration milestones, and potential resource allocation conflicts across development teams</t>
  </si>
  <si>
    <t>Establish a centralized acquisition integration program office; prioritize integration roadmaps; allocate dedicated engineering teams focused solely on Armis platform integration</t>
  </si>
  <si>
    <t>Chief Technology Officer</t>
  </si>
  <si>
    <t>The risk of technology architecture incompatibility between ServiceNow and Armis platforms</t>
  </si>
  <si>
    <t>Caused by differences in data models, CMDB architecture, and asset intelligence discovery frameworks between the two platforms</t>
  </si>
  <si>
    <t>Resulting in delays in achieving full bidirectional data synchronization and unified asset visibility capabilities across customer environments</t>
  </si>
  <si>
    <t>Develop standardized data integration architecture; implement phased integration milestones; conduct early architecture compatibility testing across key enterprise environments</t>
  </si>
  <si>
    <t>Response Plan Options:</t>
  </si>
  <si>
    <t>Priority Legend:</t>
  </si>
  <si>
    <t>The risk of talent shortages affecting platform development and integration velocity</t>
  </si>
  <si>
    <t>Caused by the global cybersecurity workforce shortage and competition for experienced AI and security engineering talent</t>
  </si>
  <si>
    <t>Resulting in slower product innovation cycles and delayed integration milestones that could weaken competitive positioning</t>
  </si>
  <si>
    <t>Expand global talent acquisition strategy; strengthen retention incentives for cybersecurity engineers; leverage strategic outsourcing and partner development teams for integration acceleration</t>
  </si>
  <si>
    <t>Chief Human Resources Officer</t>
  </si>
  <si>
    <t>Avoidance</t>
  </si>
  <si>
    <t>High (H): Score &gt;= 45</t>
  </si>
  <si>
    <t>The risk of organizational disruption following the acquisition integration process</t>
  </si>
  <si>
    <t>Caused by cultural integration challenges between ServiceNow and Armis teams and potential restructuring of internal roles</t>
  </si>
  <si>
    <t>Resulting in employee turnover, reduced productivity, and potential knowledge loss during the integration phase</t>
  </si>
  <si>
    <t>Implement structured change-management programs; maintain transparent communication regarding organizational strategy; retain key technical leaders through retention incentives</t>
  </si>
  <si>
    <t>Mitigation/Reduction</t>
  </si>
  <si>
    <t>Medium (M): Score 20-44</t>
  </si>
  <si>
    <t>The risk of inaccurate asset visibility affecting cybersecurity monitoring outcomes</t>
  </si>
  <si>
    <t>Caused by incomplete device discovery, misclassified assets, or integration gaps between the ServiceNow CMDB and Armis asset intelligence platform</t>
  </si>
  <si>
    <t>Resulting in reduced reliability of risk visibility and potential compliance issues for enterprise customers relying on accurate asset inventories</t>
  </si>
  <si>
    <t>Enhance asset discovery algorithms; deploy continuous validation mechanisms; integrate automated data reconciliation across asset inventories</t>
  </si>
  <si>
    <t>Chief Product Officer</t>
  </si>
  <si>
    <t>Transfer</t>
  </si>
  <si>
    <t>Low (L): Score &lt; 20</t>
  </si>
  <si>
    <t>The risk of infrastructure instability during platform integration activities</t>
  </si>
  <si>
    <t>Caused by integration changes to production infrastructure and system configuration updates across enterprise customer environments</t>
  </si>
  <si>
    <t>Resulting in potential service disruptions, reduced platform availability, and customer dissatisfaction during deployment phases</t>
  </si>
  <si>
    <t>Implement staged deployment processes; perform rigorous testing before production release; maintain rollback procedures and monitoring alerts during integration deployment</t>
  </si>
  <si>
    <t>Acceptance</t>
  </si>
  <si>
    <t>The risk of cybersecurity vulnerabilities emerging during system integration</t>
  </si>
  <si>
    <t>Caused by integration of identity management systems, data pipelines, and shared infrastructure across both platforms</t>
  </si>
  <si>
    <t>Resulting in increased exposure to cyberattacks targeting temporary security gaps during the merger integration phase</t>
  </si>
  <si>
    <t>Security</t>
  </si>
  <si>
    <t>Conduct continuous penetration testing and security audits during integration; implement zero-trust access controls; strengthen monitoring of privileged access during integration activities</t>
  </si>
  <si>
    <t>Chief Information Security Officer</t>
  </si>
  <si>
    <t>The risk of technological obsolescence due to rapid innovation in AI-driven cybersecurity technologies</t>
  </si>
  <si>
    <t>Caused by accelerated development of AI-native detection, analytics, and automated response platforms among leading competitors</t>
  </si>
  <si>
    <t>Resulting in reduced competitiveness of the ServiceNow-Armis platform if innovation pace does not match industry evolution</t>
  </si>
  <si>
    <t>Strategic / Technology</t>
  </si>
  <si>
    <t>Increase investment in AI-driven security analytics; establish innovation partnerships with AI research providers; accelerate internal AI development programs focused on detection and automation capabilities</t>
  </si>
  <si>
    <t>The risk of increasing global cybersecurity regulatory complexity affecting operations</t>
  </si>
  <si>
    <t>Caused by expanding regulatory frameworks including NIS2, CIRCIA, and evolving global cybersecurity compliance mandates</t>
  </si>
  <si>
    <t>Resulting in higher compliance costs, increased reporting requirements, and operational constraints across multiple jurisdictions</t>
  </si>
  <si>
    <t>Regulatory</t>
  </si>
  <si>
    <t>Strengthen regulatory compliance programs; maintain dedicated regulatory advisory teams; implement automated compliance reporting across regulated sectors</t>
  </si>
  <si>
    <t>Chief Compliance Officer</t>
  </si>
  <si>
    <t>The risk of legal liabilities arising from regulatory compliance failures</t>
  </si>
  <si>
    <t>Caused by potential non-compliance with evolving cybersecurity regulations and contractual obligations with enterprise customers</t>
  </si>
  <si>
    <t>Resulting in regulatory penalties, litigation exposure, and reputational damage affecting enterprise trust in the platform</t>
  </si>
  <si>
    <t>Legal</t>
  </si>
  <si>
    <t>Strengthen internal compliance monitoring; conduct regular legal risk reviews; establish proactive regulatory engagement strategies across key markets</t>
  </si>
  <si>
    <t>Chief Legal Officer</t>
  </si>
  <si>
    <t>The risk of increasing operational costs associated with scaling platform infrastructure</t>
  </si>
  <si>
    <t>Caused by expanded infrastructure and cloud service requirements required to support the combined ServiceNow-Armis platform</t>
  </si>
  <si>
    <t>Resulting in increased operating expenses and potential margin pressure if infrastructure efficiency improvements are not achieved</t>
  </si>
  <si>
    <t>Optimize cloud infrastructure architecture; implement cost monitoring systems; negotiate enterprise cloud contracts to improve infrastructure efficiency</t>
  </si>
  <si>
    <t>The risk of customer migration to competing integrated security platforms</t>
  </si>
  <si>
    <t>Caused by competitors offering bundled security capabilities integrated with existing enterprise cloud ecosystems</t>
  </si>
  <si>
    <t>Resulting in customer churn and reduced adoption of the combined ServiceNow-Armis platform across enterprise security environments</t>
  </si>
  <si>
    <t>Enhance customer retention strategies; strengthen integration capabilities across enterprise ecosystems; prioritize differentiated automation capabilities unavailable in competitor platforms</t>
  </si>
  <si>
    <t>Chief Revenue Officer</t>
  </si>
  <si>
    <t>The risk of economic slowdown affecting enterprise cybersecurity spending</t>
  </si>
  <si>
    <t>Caused by macroeconomic uncertainty and enterprise IT budget optimization during economic downturns</t>
  </si>
  <si>
    <t>Resulting in delayed purchasing decisions and slower pipeline conversion for large enterprise security investments</t>
  </si>
  <si>
    <t>Market / Financial</t>
  </si>
  <si>
    <t>Diversify industry segments; prioritize regulated sectors with mandatory cybersecurity spending; strengthen ROI messaging in enterprise sales strategies</t>
  </si>
  <si>
    <t>The opportunity for accelerated growth in the OT and IoT security market</t>
  </si>
  <si>
    <t>Caused by rapid expansion of connected devices across enterprise, healthcare, manufacturing, and infrastructure sectors</t>
  </si>
  <si>
    <t>Resulting in significant growth potential for asset visibility and cybersecurity risk management platforms</t>
  </si>
  <si>
    <t>Expand marketing focus on OT and IoT security use cases; strengthen partnerships with industrial and healthcare technology providers; invest in industry-specific product features</t>
  </si>
  <si>
    <t>The opportunity for revenue expansion through cross-selling Armis capabilities across the ServiceNow customer base</t>
  </si>
  <si>
    <t>Caused by ServiceNow’s large installed enterprise customer base and strong existing platform adoption across global enterprises</t>
  </si>
  <si>
    <t>Resulting in increased platform adoption, higher average contract values, and improved return on the acquisition investment</t>
  </si>
  <si>
    <t>Launch targeted cross-sell campaigns for existing enterprise customers; bundle Armis capabilities with ITSM and security operations offerings; align sales incentives with cross-sell revenue growth</t>
  </si>
  <si>
    <t>The risk of minor operational misalignment between ServiceNow and Armis internal workflows</t>
  </si>
  <si>
    <t>Caused by differences in operational procedures, support processes, and internal tooling across both organizations during early integration phases</t>
  </si>
  <si>
    <t>Resulting in temporary coordination delays between engineering, product, and support teams while unified operational processes are established</t>
  </si>
  <si>
    <t>L</t>
  </si>
  <si>
    <t>Establish standardized integration playbooks for operational teams; implement cross-team governance meetings; align support workflows and documentation across both organizations to ensure consistent operational processes</t>
  </si>
  <si>
    <t>Chief Operating Officer</t>
  </si>
  <si>
    <t>The risk of short-term customer uncertainty during the acquisition transition period</t>
  </si>
  <si>
    <t>Caused by customer concerns regarding product roadmap alignment, support continuity, and long-term integration plans following the acquisition announcement</t>
  </si>
  <si>
    <t>Resulting in temporary delays in contract renewals, purchasing decisions, or pilot deployments among risk-averse enterprise customers</t>
  </si>
  <si>
    <t>Market / Customer</t>
  </si>
  <si>
    <t>Implement proactive customer communication strategy outlining product roadmap integration; provide joint ServiceNow-Armis customer briefings; deploy dedicated account teams to reassure key enterprise clients during transition</t>
  </si>
  <si>
    <t>The risk of regulatory and ethical issues related to AI-driven automation within ServiceNow platforms</t>
  </si>
  <si>
    <t>Increasing reliance on artificial intelligence and machine learning systems without fully established governance and regulatory frameworks</t>
  </si>
  <si>
    <t>Regulatory scrutiny, compliance violations, reputational damage, and reduced customer trust in automated enterprise decision systems</t>
  </si>
  <si>
    <t>Legal / Compliance</t>
  </si>
  <si>
    <t>Implement AI governance frameworks, conduct regular model audits, ensure transparency in automated decisions, and strengthen regulatory compliance monitoring</t>
  </si>
  <si>
    <t>Chief Compliance Officer / AI Governance Team</t>
  </si>
  <si>
    <t>The risk of operational disruption due to dependency on third-party cloud infrastructure providers</t>
  </si>
  <si>
    <t>Heavy reliance on external cloud providers such as AWS, Microsoft Azure, or Google Cloud to host enterprise platforms</t>
  </si>
  <si>
    <t>Platform outages, reduced service availability for enterprise clients, potential contractual penalties, and loss of customer confidence</t>
  </si>
  <si>
    <t>Operational / Technology</t>
  </si>
  <si>
    <t>Establish multi-cloud strategies, improve disaster recovery planning, implement redundancy systems, and strengthen service level agreements with providers</t>
  </si>
  <si>
    <t>Chief Technology Officer (CTO) / Cloud Infrastructure Team</t>
  </si>
  <si>
    <t>The risk of vendor lock-in limiting ServiceNow’s technological flexibility</t>
  </si>
  <si>
    <t>Dependence on proprietary technologies and ecosystem integrations that make switching platforms or adapting infrastructure difficult</t>
  </si>
  <si>
    <t>Increased long-term operational costs, reduced ability to adopt emerging technologies, and decreased competitiveness in the enterprise platform market</t>
  </si>
  <si>
    <t>Adopt open architecture standards, diversify technology partnerships, and implement flexible integration frameworks to reduce dependency</t>
  </si>
  <si>
    <t>Chief Information Officer (CIO) / Enterprise Architecture Team</t>
  </si>
  <si>
    <t>Risk Heatmap: ServiceNow-Armis Competitive Risk Assessment</t>
  </si>
  <si>
    <t>IMPACT</t>
  </si>
  <si>
    <t>Very Low (1)</t>
  </si>
  <si>
    <t>Somewhat Low (2)</t>
  </si>
  <si>
    <t>Moderate (4)</t>
  </si>
  <si>
    <t>Somewhat High (6)</t>
  </si>
  <si>
    <t>High (8)</t>
  </si>
  <si>
    <t>Extremely High (9)</t>
  </si>
  <si>
    <t>LIKELIHOOD</t>
  </si>
  <si>
    <t>Risk 2</t>
  </si>
  <si>
    <t>Risk Score Color Legend:</t>
  </si>
  <si>
    <t>Risk Placement Summary:</t>
  </si>
  <si>
    <t>High Risk (Score &gt;= 45)</t>
  </si>
  <si>
    <t>Risk 1 (Negative): Rival mega-acquisitions - Likelihood 7, Impact 8, Score 56 (HIGH)</t>
  </si>
  <si>
    <t>Medium Risk (Score 20-44)</t>
  </si>
  <si>
    <t>Risk 2 (Negative): AI-driven platform convergence - Likelihood 7, Impact 9, Score 63 (HIGH)</t>
  </si>
  <si>
    <t>Low Risk (Score &lt; 20)</t>
  </si>
  <si>
    <t>Risk 3 (Positive): Regulatory tailwinds - Likelihood 9, Impact 8, Score 72 (HIGH)</t>
  </si>
  <si>
    <t>Risk 4: Integration complexity between ServiceNow and Armis platforms - Likelihood 5, Impact 6, Score 30 (MEDIUM)</t>
  </si>
  <si>
    <t>Risk 5: Delays in enterprise customer adoption of integrated platform capabilities - Likelihood 5, Impact 8, Score 40 (MEDIUM)</t>
  </si>
  <si>
    <t>1. Avoidance  |  2. Mitigation/Reduction  |  3. Transfer  |  4. Acceptance</t>
  </si>
  <si>
    <t>Risk 6: Operational misalignment between product engineering teams - Likelihood 5, Impact 6, Score 30 (MEDIUM)</t>
  </si>
  <si>
    <t>Risk 7: Cultural integration challenges after acquisition - Likelihood 5, Impact 6, Score 30 (MEDIUM)</t>
  </si>
  <si>
    <t>Risk 8: Integration roadmap delays affecting product release cycles - Likelihood 5, Impact 6, Score 30 (MEDIUM)</t>
  </si>
  <si>
    <t>Risk 9: Market uncertainty impacting early adoption of new platform capabilities - Likelihood 5, Impact 6, Score 30 (MEDIUM)</t>
  </si>
  <si>
    <t>Risk 10: Competitive marketing campaigns weakening perceived differentiation - Likelihood 5, Impact 6, Score 30 (MEDIUM)</t>
  </si>
  <si>
    <t>Risk 11: Customer concerns about platform transition and vendor consolidation - Likelihood 5, Impact 6, Score 30 (MEDIUM)</t>
  </si>
  <si>
    <t>Risk 12: Slower than expected cross-sell performance within enterprise accounts - Likelihood 5, Impact 6, Score 30 (MEDIUM)</t>
  </si>
  <si>
    <t>Risk 13: Strategic dependency on integrated AI capabilities across security workflows - Likelihood 7, Impact 8, Score 56 (HIGH)</t>
  </si>
  <si>
    <t>Risk 14: Market share pressure from alternative security ecosystems - Likelihood 5, Impact 6, Score 30 (MEDIUM)</t>
  </si>
  <si>
    <t>Risk 15: Emerging innovation from niche cybersecurity startups - Likelihood 7, Impact 6, Score 42 (MEDIUM)</t>
  </si>
  <si>
    <t>Risk 16: Customer procurement cycles slowing security platform transitions - Likelihood 5, Impact 6, Score 30 (MEDIUM)</t>
  </si>
  <si>
    <t>Risk 17 (Positive): Expansion opportunities through ServiceNow enterprise customer base - Likelihood 7, Impact 8, Score 56 (HIGH)</t>
  </si>
  <si>
    <t>Risk 18: Technology compatibility risks across legacy enterprise environments - Likelihood 5, Impact 6, Score 30 (MEDIUM)</t>
  </si>
  <si>
    <t>Risk 19 (Positive): Strategic pressure to demonstrate acquisition ROI quickly - Likelihood 7, Impact 8, Score 56 (HIGH)</t>
  </si>
  <si>
    <t>Risk 20 (Positive): Internal capability gaps in OT/IoT cybersecurity domain expertise - Likelihood 7, Impact 8, Score 56 (HIGH)</t>
  </si>
  <si>
    <t>Risk 21: Minor operational misalignment between ServiceNow and Armis internal workflows - Likelihood 3, Impact 4, Score 12 (LOW)</t>
  </si>
  <si>
    <t>Risk 22: Short-term customer uncertainty during the acquisition transition period - Likelihood 3, Impact 2, Score 6 (LOW)</t>
  </si>
  <si>
    <t>Risk 23: Regulatory and ethical risks related to AI-driven automation within ServiceNow platforms - Likelihood 5, Impact 9, Score 45 (HIGH)</t>
  </si>
  <si>
    <t>Risk 24: Operational disruption due to dependency on third-party cloud infrastructure providers - Likelihood 5, Impact 6, Score 30 (MEDIUM)</t>
  </si>
  <si>
    <t>Risk 25: Vendor lock-in risks from proprietary technology integration - Likelihood 3, Impact 6, Score 18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</si>
</sst>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2E4057"/>
      <name val="Arial"/>
      <family val="2"/>
    </font>
    <font>
      <sz val="14"/>
      <color theme="1"/>
      <name val="Calibri"/>
      <family val="2"/>
      <charset val="1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FFFF"/>
      <name val="Arial"/>
      <family val="2"/>
    </font>
    <font>
      <i/>
      <sz val="14"/>
      <color rgb="FF555555"/>
      <name val="Arial"/>
      <family val="2"/>
    </font>
    <font>
      <sz val="14"/>
      <color theme="1"/>
      <name val="Arial"/>
      <family val="2"/>
    </font>
    <font>
      <sz val="14"/>
      <color rgb="FF88888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4CCCC"/>
        <bgColor rgb="FFD9EAD3"/>
      </patternFill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7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0" xfId="0" applyFont="1" applyFill="1"/>
    <xf numFmtId="0" fontId="4" fillId="5" borderId="0" xfId="0" applyFont="1" applyFill="1"/>
    <xf numFmtId="0" fontId="4" fillId="4" borderId="0" xfId="0" applyFont="1" applyFill="1"/>
    <xf numFmtId="0" fontId="3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3" borderId="0" xfId="0" applyFont="1" applyFill="1"/>
    <xf numFmtId="0" fontId="9" fillId="5" borderId="0" xfId="0" applyFont="1" applyFill="1"/>
    <xf numFmtId="0" fontId="9" fillId="4" borderId="0" xfId="0" applyFont="1" applyFill="1"/>
    <xf numFmtId="0" fontId="8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top" wrapText="1"/>
    </xf>
    <xf numFmtId="14" fontId="9" fillId="0" borderId="1" xfId="0" applyNumberFormat="1" applyFont="1" applyBorder="1" applyAlignment="1">
      <alignment horizontal="center" vertical="center" wrapText="1"/>
    </xf>
    <xf numFmtId="14" fontId="7" fillId="0" borderId="0" xfId="0" applyNumberFormat="1" applyFont="1"/>
    <xf numFmtId="0" fontId="11" fillId="4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2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auto="1"/>
          <bgColor rgb="FFD8B4B2"/>
        </patternFill>
      </fill>
    </dxf>
    <dxf>
      <fill>
        <patternFill>
          <bgColor rgb="FFE2D5B1"/>
        </patternFill>
      </fill>
    </dxf>
    <dxf>
      <fill>
        <patternFill>
          <bgColor rgb="FFB8C9B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pane ySplit="6" topLeftCell="A20" activePane="bottomLeft" state="frozen"/>
      <selection activeCell="D1" sqref="D1"/>
      <selection pane="bottomLeft" activeCell="C5" sqref="C5"/>
    </sheetView>
  </sheetViews>
  <sheetFormatPr baseColWidth="10" defaultColWidth="8.5" defaultRowHeight="19" x14ac:dyDescent="0.25"/>
  <cols>
    <col min="1" max="1" width="9.5" style="1" bestFit="1" customWidth="1"/>
    <col min="2" max="2" width="37.83203125" style="1" customWidth="1"/>
    <col min="3" max="3" width="51.1640625" style="1" bestFit="1" customWidth="1"/>
    <col min="4" max="4" width="93.5" style="1" customWidth="1"/>
    <col min="5" max="5" width="94.5" style="1" customWidth="1"/>
    <col min="6" max="6" width="22.5" style="1" customWidth="1"/>
    <col min="7" max="7" width="8.5" style="1" customWidth="1"/>
    <col min="8" max="16384" width="8.5" style="1"/>
  </cols>
  <sheetData>
    <row r="1" spans="1:6" x14ac:dyDescent="0.25">
      <c r="A1" s="51" t="s">
        <v>0</v>
      </c>
      <c r="B1" s="50"/>
      <c r="C1" s="50"/>
      <c r="D1" s="50"/>
      <c r="E1" s="50"/>
      <c r="F1" s="50"/>
    </row>
    <row r="3" spans="1:6" x14ac:dyDescent="0.25">
      <c r="A3" s="49" t="s">
        <v>1</v>
      </c>
      <c r="B3" s="50"/>
      <c r="C3" s="50"/>
      <c r="D3" s="50"/>
      <c r="E3" s="50"/>
      <c r="F3" s="50"/>
    </row>
    <row r="4" spans="1:6" x14ac:dyDescent="0.25">
      <c r="A4" s="52" t="s">
        <v>2</v>
      </c>
      <c r="B4" s="50"/>
      <c r="C4" s="50"/>
      <c r="D4" s="50"/>
      <c r="E4" s="50"/>
      <c r="F4" s="50"/>
    </row>
    <row r="6" spans="1:6" ht="26.25" customHeight="1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ht="91" customHeight="1" x14ac:dyDescent="0.25">
      <c r="A7" s="17">
        <v>1</v>
      </c>
      <c r="B7" s="18" t="s">
        <v>9</v>
      </c>
      <c r="C7" s="19" t="s">
        <v>10</v>
      </c>
      <c r="D7" s="19" t="s">
        <v>11</v>
      </c>
      <c r="E7" s="19" t="s">
        <v>12</v>
      </c>
      <c r="F7" s="19" t="s">
        <v>13</v>
      </c>
    </row>
    <row r="8" spans="1:6" ht="78.75" customHeight="1" x14ac:dyDescent="0.25">
      <c r="A8" s="17">
        <v>2</v>
      </c>
      <c r="B8" s="18" t="s">
        <v>14</v>
      </c>
      <c r="C8" s="19" t="s">
        <v>15</v>
      </c>
      <c r="D8" s="19" t="s">
        <v>16</v>
      </c>
      <c r="E8" s="19" t="s">
        <v>17</v>
      </c>
      <c r="F8" s="19" t="s">
        <v>13</v>
      </c>
    </row>
    <row r="9" spans="1:6" ht="89.25" customHeight="1" x14ac:dyDescent="0.25">
      <c r="A9" s="17">
        <v>3</v>
      </c>
      <c r="B9" s="20" t="s">
        <v>18</v>
      </c>
      <c r="C9" s="19" t="s">
        <v>19</v>
      </c>
      <c r="D9" s="19" t="s">
        <v>20</v>
      </c>
      <c r="E9" s="19" t="s">
        <v>21</v>
      </c>
      <c r="F9" s="19" t="s">
        <v>22</v>
      </c>
    </row>
    <row r="10" spans="1:6" ht="56.25" customHeight="1" x14ac:dyDescent="0.25">
      <c r="A10" s="17">
        <v>4</v>
      </c>
      <c r="B10" s="18" t="s">
        <v>9</v>
      </c>
      <c r="C10" s="19" t="s">
        <v>23</v>
      </c>
      <c r="D10" s="19" t="s">
        <v>24</v>
      </c>
      <c r="E10" s="19" t="s">
        <v>25</v>
      </c>
      <c r="F10" s="19" t="s">
        <v>13</v>
      </c>
    </row>
    <row r="11" spans="1:6" ht="31" customHeight="1" x14ac:dyDescent="0.25">
      <c r="A11" s="17">
        <v>5</v>
      </c>
      <c r="B11" s="18" t="s">
        <v>26</v>
      </c>
      <c r="C11" s="19" t="s">
        <v>27</v>
      </c>
      <c r="D11" s="19" t="s">
        <v>28</v>
      </c>
      <c r="E11" s="19" t="s">
        <v>29</v>
      </c>
      <c r="F11" s="19" t="s">
        <v>30</v>
      </c>
    </row>
    <row r="12" spans="1:6" ht="46.5" customHeight="1" x14ac:dyDescent="0.25">
      <c r="A12" s="17">
        <v>6</v>
      </c>
      <c r="B12" s="18" t="s">
        <v>31</v>
      </c>
      <c r="C12" s="19" t="s">
        <v>32</v>
      </c>
      <c r="D12" s="19" t="s">
        <v>33</v>
      </c>
      <c r="E12" s="19" t="s">
        <v>34</v>
      </c>
      <c r="F12" s="19" t="s">
        <v>35</v>
      </c>
    </row>
    <row r="13" spans="1:6" ht="46.5" customHeight="1" x14ac:dyDescent="0.25">
      <c r="A13" s="17">
        <v>7</v>
      </c>
      <c r="B13" s="18" t="s">
        <v>36</v>
      </c>
      <c r="C13" s="19" t="s">
        <v>37</v>
      </c>
      <c r="D13" s="19" t="s">
        <v>38</v>
      </c>
      <c r="E13" s="19" t="s">
        <v>39</v>
      </c>
      <c r="F13" s="19" t="s">
        <v>40</v>
      </c>
    </row>
    <row r="14" spans="1:6" ht="46.5" customHeight="1" x14ac:dyDescent="0.25">
      <c r="A14" s="17">
        <v>8</v>
      </c>
      <c r="B14" s="18" t="s">
        <v>31</v>
      </c>
      <c r="C14" s="19" t="s">
        <v>41</v>
      </c>
      <c r="D14" s="19" t="s">
        <v>42</v>
      </c>
      <c r="E14" s="19" t="s">
        <v>43</v>
      </c>
      <c r="F14" s="19" t="s">
        <v>44</v>
      </c>
    </row>
    <row r="15" spans="1:6" ht="31" customHeight="1" x14ac:dyDescent="0.25">
      <c r="A15" s="17">
        <v>9</v>
      </c>
      <c r="B15" s="18" t="s">
        <v>31</v>
      </c>
      <c r="C15" s="19" t="s">
        <v>45</v>
      </c>
      <c r="D15" s="19" t="s">
        <v>46</v>
      </c>
      <c r="E15" s="19" t="s">
        <v>47</v>
      </c>
      <c r="F15" s="19" t="s">
        <v>35</v>
      </c>
    </row>
    <row r="16" spans="1:6" ht="31" customHeight="1" x14ac:dyDescent="0.25">
      <c r="A16" s="17">
        <v>10</v>
      </c>
      <c r="B16" s="18" t="s">
        <v>36</v>
      </c>
      <c r="C16" s="19" t="s">
        <v>48</v>
      </c>
      <c r="D16" s="19" t="s">
        <v>49</v>
      </c>
      <c r="E16" s="19" t="s">
        <v>50</v>
      </c>
      <c r="F16" s="19" t="s">
        <v>40</v>
      </c>
    </row>
    <row r="17" spans="1:6" ht="31" customHeight="1" x14ac:dyDescent="0.25">
      <c r="A17" s="17">
        <v>11</v>
      </c>
      <c r="B17" s="18" t="s">
        <v>31</v>
      </c>
      <c r="C17" s="19" t="s">
        <v>51</v>
      </c>
      <c r="D17" s="19" t="s">
        <v>52</v>
      </c>
      <c r="E17" s="19" t="s">
        <v>53</v>
      </c>
      <c r="F17" s="19" t="s">
        <v>35</v>
      </c>
    </row>
    <row r="18" spans="1:6" ht="31" customHeight="1" x14ac:dyDescent="0.25">
      <c r="A18" s="17">
        <v>12</v>
      </c>
      <c r="B18" s="18" t="s">
        <v>54</v>
      </c>
      <c r="C18" s="19" t="s">
        <v>55</v>
      </c>
      <c r="D18" s="19" t="s">
        <v>56</v>
      </c>
      <c r="E18" s="19" t="s">
        <v>57</v>
      </c>
      <c r="F18" s="19" t="s">
        <v>58</v>
      </c>
    </row>
    <row r="19" spans="1:6" ht="31" customHeight="1" x14ac:dyDescent="0.25">
      <c r="A19" s="17">
        <v>13</v>
      </c>
      <c r="B19" s="18" t="s">
        <v>36</v>
      </c>
      <c r="C19" s="19" t="s">
        <v>59</v>
      </c>
      <c r="D19" s="19" t="s">
        <v>60</v>
      </c>
      <c r="E19" s="19" t="s">
        <v>61</v>
      </c>
      <c r="F19" s="19" t="s">
        <v>58</v>
      </c>
    </row>
    <row r="20" spans="1:6" ht="31" customHeight="1" x14ac:dyDescent="0.25">
      <c r="A20" s="17">
        <v>14</v>
      </c>
      <c r="B20" s="18" t="s">
        <v>62</v>
      </c>
      <c r="C20" s="19" t="s">
        <v>63</v>
      </c>
      <c r="D20" s="19" t="s">
        <v>64</v>
      </c>
      <c r="E20" s="19" t="s">
        <v>65</v>
      </c>
      <c r="F20" s="19" t="s">
        <v>66</v>
      </c>
    </row>
    <row r="21" spans="1:6" ht="31" customHeight="1" x14ac:dyDescent="0.25">
      <c r="A21" s="17">
        <v>15</v>
      </c>
      <c r="B21" s="18" t="s">
        <v>67</v>
      </c>
      <c r="C21" s="19" t="s">
        <v>68</v>
      </c>
      <c r="D21" s="19" t="s">
        <v>69</v>
      </c>
      <c r="E21" s="19" t="s">
        <v>70</v>
      </c>
      <c r="F21" s="19" t="s">
        <v>66</v>
      </c>
    </row>
    <row r="22" spans="1:6" ht="31" customHeight="1" x14ac:dyDescent="0.25">
      <c r="A22" s="17">
        <v>16</v>
      </c>
      <c r="B22" s="18" t="s">
        <v>26</v>
      </c>
      <c r="C22" s="19" t="s">
        <v>71</v>
      </c>
      <c r="D22" s="19" t="s">
        <v>72</v>
      </c>
      <c r="E22" s="19" t="s">
        <v>73</v>
      </c>
      <c r="F22" s="19" t="s">
        <v>30</v>
      </c>
    </row>
    <row r="23" spans="1:6" ht="31" customHeight="1" x14ac:dyDescent="0.25">
      <c r="A23" s="17">
        <v>17</v>
      </c>
      <c r="B23" s="18" t="s">
        <v>9</v>
      </c>
      <c r="C23" s="19" t="s">
        <v>74</v>
      </c>
      <c r="D23" s="19" t="s">
        <v>75</v>
      </c>
      <c r="E23" s="19" t="s">
        <v>76</v>
      </c>
      <c r="F23" s="19" t="s">
        <v>13</v>
      </c>
    </row>
    <row r="24" spans="1:6" ht="31" customHeight="1" x14ac:dyDescent="0.25">
      <c r="A24" s="17">
        <v>18</v>
      </c>
      <c r="B24" s="18" t="s">
        <v>77</v>
      </c>
      <c r="C24" s="19" t="s">
        <v>78</v>
      </c>
      <c r="D24" s="19" t="s">
        <v>79</v>
      </c>
      <c r="E24" s="19" t="s">
        <v>80</v>
      </c>
      <c r="F24" s="19" t="s">
        <v>66</v>
      </c>
    </row>
    <row r="25" spans="1:6" ht="31" customHeight="1" x14ac:dyDescent="0.25">
      <c r="A25" s="17">
        <v>19</v>
      </c>
      <c r="B25" s="20" t="s">
        <v>18</v>
      </c>
      <c r="C25" s="19" t="s">
        <v>81</v>
      </c>
      <c r="D25" s="19" t="s">
        <v>82</v>
      </c>
      <c r="E25" s="19" t="s">
        <v>83</v>
      </c>
      <c r="F25" s="19" t="s">
        <v>44</v>
      </c>
    </row>
    <row r="26" spans="1:6" ht="43" customHeight="1" x14ac:dyDescent="0.25">
      <c r="A26" s="17">
        <v>20</v>
      </c>
      <c r="B26" s="20" t="s">
        <v>18</v>
      </c>
      <c r="C26" s="19" t="s">
        <v>84</v>
      </c>
      <c r="D26" s="19" t="s">
        <v>85</v>
      </c>
      <c r="E26" s="19" t="s">
        <v>86</v>
      </c>
      <c r="F26" s="19" t="s">
        <v>87</v>
      </c>
    </row>
    <row r="27" spans="1:6" ht="62" customHeight="1" x14ac:dyDescent="0.25">
      <c r="A27" s="17">
        <v>21</v>
      </c>
      <c r="B27" s="18" t="s">
        <v>88</v>
      </c>
      <c r="C27" s="19" t="s">
        <v>89</v>
      </c>
      <c r="D27" s="19" t="s">
        <v>90</v>
      </c>
      <c r="E27" s="19" t="s">
        <v>91</v>
      </c>
      <c r="F27" s="19" t="s">
        <v>35</v>
      </c>
    </row>
    <row r="28" spans="1:6" ht="46.5" customHeight="1" x14ac:dyDescent="0.25">
      <c r="A28" s="45">
        <v>22</v>
      </c>
      <c r="B28" s="46" t="s">
        <v>92</v>
      </c>
      <c r="C28" s="47" t="s">
        <v>93</v>
      </c>
      <c r="D28" s="47" t="s">
        <v>94</v>
      </c>
      <c r="E28" s="47" t="s">
        <v>95</v>
      </c>
      <c r="F28" s="47" t="s">
        <v>66</v>
      </c>
    </row>
    <row r="29" spans="1:6" s="48" customFormat="1" ht="77.5" customHeight="1" x14ac:dyDescent="0.2">
      <c r="A29" s="17">
        <v>23</v>
      </c>
      <c r="B29" s="20" t="s">
        <v>14</v>
      </c>
      <c r="C29" s="19" t="s">
        <v>96</v>
      </c>
      <c r="D29" s="19" t="s">
        <v>97</v>
      </c>
      <c r="E29" s="19" t="s">
        <v>98</v>
      </c>
      <c r="F29" s="19" t="s">
        <v>66</v>
      </c>
    </row>
    <row r="30" spans="1:6" s="48" customFormat="1" ht="46.5" customHeight="1" x14ac:dyDescent="0.2">
      <c r="A30" s="17">
        <v>24</v>
      </c>
      <c r="B30" s="20" t="s">
        <v>99</v>
      </c>
      <c r="C30" s="19" t="s">
        <v>100</v>
      </c>
      <c r="D30" s="19" t="s">
        <v>101</v>
      </c>
      <c r="E30" s="19" t="s">
        <v>102</v>
      </c>
      <c r="F30" s="19" t="s">
        <v>66</v>
      </c>
    </row>
    <row r="31" spans="1:6" s="48" customFormat="1" ht="46.5" customHeight="1" x14ac:dyDescent="0.2">
      <c r="A31" s="17">
        <v>25</v>
      </c>
      <c r="B31" s="20" t="s">
        <v>103</v>
      </c>
      <c r="C31" s="19" t="s">
        <v>104</v>
      </c>
      <c r="D31" s="19" t="s">
        <v>105</v>
      </c>
      <c r="E31" s="19" t="s">
        <v>106</v>
      </c>
      <c r="F31" s="19" t="s">
        <v>107</v>
      </c>
    </row>
  </sheetData>
  <mergeCells count="3">
    <mergeCell ref="A3:F3"/>
    <mergeCell ref="A1:F1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opLeftCell="D1" zoomScaleNormal="100" workbookViewId="0">
      <selection activeCell="G5" sqref="G5"/>
    </sheetView>
  </sheetViews>
  <sheetFormatPr baseColWidth="10" defaultColWidth="8.5" defaultRowHeight="18" x14ac:dyDescent="0.2"/>
  <cols>
    <col min="1" max="1" width="8" style="5" customWidth="1"/>
    <col min="2" max="2" width="35.83203125" style="5" customWidth="1"/>
    <col min="3" max="3" width="31.5" style="5" customWidth="1"/>
    <col min="4" max="4" width="63.1640625" style="5" customWidth="1"/>
    <col min="5" max="5" width="48.5" style="5" customWidth="1"/>
    <col min="6" max="6" width="46.5" style="5" customWidth="1"/>
    <col min="7" max="7" width="49.1640625" style="5" customWidth="1"/>
    <col min="8" max="8" width="8.5" style="5" customWidth="1"/>
    <col min="9" max="16384" width="8.5" style="5"/>
  </cols>
  <sheetData>
    <row r="1" spans="1:7" ht="17.25" customHeight="1" x14ac:dyDescent="0.2">
      <c r="A1" s="51" t="s">
        <v>108</v>
      </c>
      <c r="B1" s="54"/>
      <c r="C1" s="54"/>
      <c r="D1" s="54"/>
      <c r="E1" s="54"/>
      <c r="F1" s="54"/>
      <c r="G1" s="54"/>
    </row>
    <row r="2" spans="1:7" ht="15" customHeight="1" x14ac:dyDescent="0.2">
      <c r="A2" s="53" t="s">
        <v>109</v>
      </c>
      <c r="B2" s="54"/>
      <c r="C2" s="54"/>
      <c r="D2" s="54"/>
      <c r="E2" s="54"/>
      <c r="F2" s="54"/>
      <c r="G2" s="54"/>
    </row>
    <row r="4" spans="1:7" ht="36" customHeight="1" x14ac:dyDescent="0.2">
      <c r="A4" s="24" t="s">
        <v>3</v>
      </c>
      <c r="B4" s="24" t="s">
        <v>110</v>
      </c>
      <c r="C4" s="24" t="s">
        <v>111</v>
      </c>
      <c r="D4" s="24" t="s">
        <v>112</v>
      </c>
      <c r="E4" s="24" t="s">
        <v>113</v>
      </c>
      <c r="F4" s="24" t="s">
        <v>114</v>
      </c>
      <c r="G4" s="24" t="s">
        <v>115</v>
      </c>
    </row>
    <row r="5" spans="1:7" ht="115.5" customHeight="1" x14ac:dyDescent="0.2">
      <c r="A5" s="17">
        <v>1</v>
      </c>
      <c r="B5" s="19" t="s">
        <v>116</v>
      </c>
      <c r="C5" s="19" t="s">
        <v>117</v>
      </c>
      <c r="D5" s="19" t="s">
        <v>118</v>
      </c>
      <c r="E5" s="21" t="s">
        <v>119</v>
      </c>
      <c r="F5" s="22" t="s">
        <v>120</v>
      </c>
      <c r="G5" s="23" t="s">
        <v>121</v>
      </c>
    </row>
    <row r="6" spans="1:7" ht="116.25" customHeight="1" x14ac:dyDescent="0.2">
      <c r="A6" s="17">
        <v>2</v>
      </c>
      <c r="B6" s="19" t="s">
        <v>122</v>
      </c>
      <c r="C6" s="19" t="s">
        <v>123</v>
      </c>
      <c r="D6" s="19" t="s">
        <v>124</v>
      </c>
      <c r="E6" s="21" t="s">
        <v>125</v>
      </c>
      <c r="F6" s="22" t="s">
        <v>126</v>
      </c>
      <c r="G6" s="23" t="s">
        <v>127</v>
      </c>
    </row>
    <row r="7" spans="1:7" ht="117" customHeight="1" x14ac:dyDescent="0.2">
      <c r="A7" s="17">
        <v>3</v>
      </c>
      <c r="B7" s="19" t="s">
        <v>128</v>
      </c>
      <c r="C7" s="19" t="s">
        <v>129</v>
      </c>
      <c r="D7" s="19" t="s">
        <v>130</v>
      </c>
      <c r="E7" s="21" t="s">
        <v>131</v>
      </c>
      <c r="F7" s="22" t="s">
        <v>132</v>
      </c>
      <c r="G7" s="23" t="s">
        <v>133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opLeftCell="A8" zoomScaleNormal="100" workbookViewId="0">
      <selection activeCell="J15" sqref="J15"/>
    </sheetView>
  </sheetViews>
  <sheetFormatPr baseColWidth="10" defaultColWidth="8.5" defaultRowHeight="18" x14ac:dyDescent="0.2"/>
  <cols>
    <col min="1" max="1" width="32.1640625" style="5" customWidth="1"/>
    <col min="2" max="2" width="11.1640625" style="5" customWidth="1"/>
    <col min="3" max="3" width="27.5" style="5" bestFit="1" customWidth="1"/>
    <col min="4" max="4" width="30.5" style="5" bestFit="1" customWidth="1"/>
    <col min="5" max="5" width="32.5" style="5" bestFit="1" customWidth="1"/>
    <col min="6" max="6" width="33" style="5" bestFit="1" customWidth="1"/>
    <col min="7" max="7" width="36.5" style="5" bestFit="1" customWidth="1"/>
    <col min="8" max="8" width="32" style="5" bestFit="1" customWidth="1"/>
    <col min="9" max="9" width="8.5" style="5" customWidth="1"/>
    <col min="10" max="16384" width="8.5" style="5"/>
  </cols>
  <sheetData>
    <row r="1" spans="1:8" ht="18" customHeight="1" x14ac:dyDescent="0.2">
      <c r="A1" s="51" t="s">
        <v>134</v>
      </c>
      <c r="B1" s="54"/>
    </row>
    <row r="2" spans="1:8" ht="18" customHeight="1" x14ac:dyDescent="0.2">
      <c r="A2" s="6" t="s">
        <v>135</v>
      </c>
      <c r="B2" s="7">
        <v>1</v>
      </c>
    </row>
    <row r="3" spans="1:8" ht="18" customHeight="1" x14ac:dyDescent="0.2">
      <c r="A3" s="6" t="s">
        <v>136</v>
      </c>
      <c r="B3" s="7">
        <v>3</v>
      </c>
    </row>
    <row r="4" spans="1:8" ht="18" customHeight="1" x14ac:dyDescent="0.2">
      <c r="A4" s="6" t="s">
        <v>137</v>
      </c>
      <c r="B4" s="7">
        <v>5</v>
      </c>
    </row>
    <row r="5" spans="1:8" ht="18" customHeight="1" x14ac:dyDescent="0.2">
      <c r="A5" s="6" t="s">
        <v>138</v>
      </c>
      <c r="B5" s="7">
        <v>7</v>
      </c>
    </row>
    <row r="6" spans="1:8" ht="18" customHeight="1" x14ac:dyDescent="0.2">
      <c r="A6" s="6" t="s">
        <v>139</v>
      </c>
      <c r="B6" s="7">
        <v>9</v>
      </c>
    </row>
    <row r="8" spans="1:8" ht="18" customHeight="1" x14ac:dyDescent="0.2">
      <c r="A8" s="51" t="s">
        <v>140</v>
      </c>
      <c r="B8" s="54"/>
      <c r="C8" s="54"/>
      <c r="D8" s="54"/>
      <c r="E8" s="54"/>
      <c r="F8" s="54"/>
      <c r="G8" s="54"/>
      <c r="H8" s="54"/>
    </row>
    <row r="9" spans="1:8" ht="18" customHeight="1" x14ac:dyDescent="0.2">
      <c r="A9" s="4"/>
      <c r="B9" s="4"/>
      <c r="C9" s="4" t="s">
        <v>141</v>
      </c>
      <c r="D9" s="4" t="s">
        <v>142</v>
      </c>
      <c r="E9" s="4" t="s">
        <v>143</v>
      </c>
      <c r="F9" s="4" t="s">
        <v>144</v>
      </c>
      <c r="G9" s="4" t="s">
        <v>145</v>
      </c>
      <c r="H9" s="4" t="s">
        <v>146</v>
      </c>
    </row>
    <row r="10" spans="1:8" ht="73.5" customHeight="1" x14ac:dyDescent="0.2">
      <c r="A10" s="25" t="s">
        <v>147</v>
      </c>
      <c r="B10" s="25">
        <v>1</v>
      </c>
      <c r="C10" s="19" t="s">
        <v>148</v>
      </c>
      <c r="D10" s="19" t="s">
        <v>149</v>
      </c>
      <c r="E10" s="19" t="s">
        <v>150</v>
      </c>
      <c r="F10" s="19" t="s">
        <v>151</v>
      </c>
      <c r="G10" s="19" t="s">
        <v>152</v>
      </c>
      <c r="H10" s="19" t="s">
        <v>153</v>
      </c>
    </row>
    <row r="11" spans="1:8" ht="79.5" customHeight="1" x14ac:dyDescent="0.2">
      <c r="A11" s="25" t="s">
        <v>154</v>
      </c>
      <c r="B11" s="25">
        <v>2</v>
      </c>
      <c r="C11" s="19" t="s">
        <v>155</v>
      </c>
      <c r="D11" s="19" t="s">
        <v>156</v>
      </c>
      <c r="E11" s="19" t="s">
        <v>157</v>
      </c>
      <c r="F11" s="19" t="s">
        <v>158</v>
      </c>
      <c r="G11" s="19" t="s">
        <v>159</v>
      </c>
      <c r="H11" s="19" t="s">
        <v>160</v>
      </c>
    </row>
    <row r="12" spans="1:8" ht="91.5" customHeight="1" x14ac:dyDescent="0.2">
      <c r="A12" s="25" t="s">
        <v>161</v>
      </c>
      <c r="B12" s="25">
        <v>4</v>
      </c>
      <c r="C12" s="19" t="s">
        <v>162</v>
      </c>
      <c r="D12" s="19" t="s">
        <v>163</v>
      </c>
      <c r="E12" s="19" t="s">
        <v>164</v>
      </c>
      <c r="F12" s="19" t="s">
        <v>165</v>
      </c>
      <c r="G12" s="19" t="s">
        <v>166</v>
      </c>
      <c r="H12" s="19" t="s">
        <v>167</v>
      </c>
    </row>
    <row r="13" spans="1:8" ht="147" customHeight="1" x14ac:dyDescent="0.2">
      <c r="A13" s="25" t="s">
        <v>168</v>
      </c>
      <c r="B13" s="25">
        <v>6</v>
      </c>
      <c r="C13" s="19" t="s">
        <v>169</v>
      </c>
      <c r="D13" s="19" t="s">
        <v>170</v>
      </c>
      <c r="E13" s="19" t="s">
        <v>171</v>
      </c>
      <c r="F13" s="19" t="s">
        <v>172</v>
      </c>
      <c r="G13" s="19" t="s">
        <v>173</v>
      </c>
      <c r="H13" s="19" t="s">
        <v>174</v>
      </c>
    </row>
    <row r="14" spans="1:8" ht="112" customHeight="1" x14ac:dyDescent="0.2">
      <c r="A14" s="25" t="s">
        <v>175</v>
      </c>
      <c r="B14" s="25">
        <v>8</v>
      </c>
      <c r="C14" s="19" t="s">
        <v>176</v>
      </c>
      <c r="D14" s="19" t="s">
        <v>177</v>
      </c>
      <c r="E14" s="19" t="s">
        <v>178</v>
      </c>
      <c r="F14" s="19" t="s">
        <v>179</v>
      </c>
      <c r="G14" s="19" t="s">
        <v>180</v>
      </c>
      <c r="H14" s="19" t="s">
        <v>181</v>
      </c>
    </row>
    <row r="15" spans="1:8" ht="130.5" customHeight="1" x14ac:dyDescent="0.2">
      <c r="A15" s="25" t="s">
        <v>182</v>
      </c>
      <c r="B15" s="25">
        <v>9</v>
      </c>
      <c r="C15" s="19" t="s">
        <v>183</v>
      </c>
      <c r="D15" s="19" t="s">
        <v>184</v>
      </c>
      <c r="E15" s="19" t="s">
        <v>185</v>
      </c>
      <c r="F15" s="19" t="s">
        <v>186</v>
      </c>
      <c r="G15" s="19" t="s">
        <v>187</v>
      </c>
      <c r="H15" s="19" t="s">
        <v>188</v>
      </c>
    </row>
  </sheetData>
  <mergeCells count="2">
    <mergeCell ref="A8:H8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"/>
  <sheetViews>
    <sheetView topLeftCell="M1" zoomScaleNormal="100" workbookViewId="0">
      <pane ySplit="1" topLeftCell="A2" activePane="bottomLeft" state="frozen"/>
      <selection pane="bottomLeft" activeCell="T5" sqref="T5"/>
    </sheetView>
  </sheetViews>
  <sheetFormatPr baseColWidth="10" defaultColWidth="8.5" defaultRowHeight="18" x14ac:dyDescent="0.2"/>
  <cols>
    <col min="1" max="1" width="10.5" style="5" customWidth="1"/>
    <col min="2" max="2" width="12.6640625" style="43" bestFit="1" customWidth="1"/>
    <col min="3" max="3" width="28.5" style="5" customWidth="1"/>
    <col min="4" max="4" width="50" style="5" customWidth="1"/>
    <col min="5" max="5" width="52.5" style="5" customWidth="1"/>
    <col min="6" max="6" width="28.1640625" style="5" customWidth="1"/>
    <col min="7" max="7" width="14.1640625" style="5" customWidth="1"/>
    <col min="8" max="8" width="12.83203125" style="5" customWidth="1"/>
    <col min="9" max="9" width="11.5" style="5" customWidth="1"/>
    <col min="10" max="10" width="12" style="5" customWidth="1"/>
    <col min="11" max="11" width="64.5" style="5" customWidth="1"/>
    <col min="12" max="12" width="19.1640625" style="5" bestFit="1" customWidth="1"/>
    <col min="13" max="13" width="21" style="5" bestFit="1" customWidth="1"/>
    <col min="14" max="14" width="8.5" style="5" customWidth="1"/>
    <col min="15" max="15" width="29.5" style="5" bestFit="1" customWidth="1"/>
    <col min="16" max="16" width="25.5" style="5" customWidth="1"/>
    <col min="17" max="17" width="26.1640625" style="5" customWidth="1"/>
    <col min="18" max="18" width="25.5" style="5" customWidth="1"/>
    <col min="19" max="19" width="28.83203125" style="5" bestFit="1" customWidth="1"/>
    <col min="20" max="21" width="28.5" style="5" customWidth="1"/>
    <col min="22" max="22" width="8.5" style="5" customWidth="1"/>
    <col min="23" max="16384" width="8.5" style="5"/>
  </cols>
  <sheetData>
    <row r="1" spans="1:21" ht="47.25" customHeight="1" x14ac:dyDescent="0.2">
      <c r="A1" s="4" t="s">
        <v>3</v>
      </c>
      <c r="B1" s="41" t="s">
        <v>189</v>
      </c>
      <c r="C1" s="4" t="s">
        <v>190</v>
      </c>
      <c r="D1" s="4" t="s">
        <v>191</v>
      </c>
      <c r="E1" s="4" t="s">
        <v>192</v>
      </c>
      <c r="F1" s="4" t="s">
        <v>193</v>
      </c>
      <c r="G1" s="4" t="s">
        <v>194</v>
      </c>
      <c r="H1" s="4" t="s">
        <v>195</v>
      </c>
      <c r="I1" s="4" t="s">
        <v>196</v>
      </c>
      <c r="J1" s="4" t="s">
        <v>197</v>
      </c>
      <c r="K1" s="4" t="s">
        <v>198</v>
      </c>
      <c r="L1" s="4" t="s">
        <v>199</v>
      </c>
      <c r="M1" s="4" t="s">
        <v>200</v>
      </c>
      <c r="O1" s="26" t="s">
        <v>201</v>
      </c>
      <c r="P1" s="7">
        <v>1</v>
      </c>
      <c r="Q1" s="7">
        <v>2</v>
      </c>
      <c r="R1" s="7">
        <v>4</v>
      </c>
      <c r="S1" s="7">
        <v>6</v>
      </c>
      <c r="T1" s="7">
        <v>8</v>
      </c>
      <c r="U1" s="7">
        <v>9</v>
      </c>
    </row>
    <row r="2" spans="1:21" ht="159.75" customHeight="1" x14ac:dyDescent="0.2">
      <c r="A2" s="19">
        <v>1</v>
      </c>
      <c r="B2" s="42" t="s">
        <v>202</v>
      </c>
      <c r="C2" s="19" t="s">
        <v>203</v>
      </c>
      <c r="D2" s="19" t="s">
        <v>204</v>
      </c>
      <c r="E2" s="19" t="s">
        <v>205</v>
      </c>
      <c r="F2" s="19" t="s">
        <v>206</v>
      </c>
      <c r="G2" s="19">
        <v>7</v>
      </c>
      <c r="H2" s="19">
        <v>8</v>
      </c>
      <c r="I2" s="17">
        <f t="shared" ref="I2:I26" si="0">G2*H2</f>
        <v>56</v>
      </c>
      <c r="J2" s="18" t="s">
        <v>207</v>
      </c>
      <c r="K2" s="19" t="s">
        <v>208</v>
      </c>
      <c r="L2" s="19" t="s">
        <v>209</v>
      </c>
      <c r="M2" s="19" t="s">
        <v>210</v>
      </c>
      <c r="O2" s="27" t="s">
        <v>211</v>
      </c>
      <c r="P2" s="8"/>
      <c r="Q2" s="8"/>
      <c r="R2" s="9"/>
      <c r="S2" s="10"/>
      <c r="T2" s="11" t="s">
        <v>212</v>
      </c>
      <c r="U2" s="10"/>
    </row>
    <row r="3" spans="1:21" ht="159.75" customHeight="1" x14ac:dyDescent="0.2">
      <c r="A3" s="19">
        <v>2</v>
      </c>
      <c r="B3" s="42" t="s">
        <v>202</v>
      </c>
      <c r="C3" s="19" t="s">
        <v>213</v>
      </c>
      <c r="D3" s="19" t="s">
        <v>214</v>
      </c>
      <c r="E3" s="19" t="s">
        <v>215</v>
      </c>
      <c r="F3" s="19" t="s">
        <v>206</v>
      </c>
      <c r="G3" s="19">
        <v>7</v>
      </c>
      <c r="H3" s="19">
        <v>9</v>
      </c>
      <c r="I3" s="17">
        <f t="shared" si="0"/>
        <v>63</v>
      </c>
      <c r="J3" s="18" t="s">
        <v>207</v>
      </c>
      <c r="K3" s="19" t="s">
        <v>216</v>
      </c>
      <c r="L3" s="19" t="s">
        <v>217</v>
      </c>
      <c r="M3" s="19" t="s">
        <v>210</v>
      </c>
      <c r="O3" s="27" t="s">
        <v>218</v>
      </c>
      <c r="P3" s="8"/>
      <c r="Q3" s="8"/>
      <c r="R3" s="9"/>
      <c r="S3" s="39" t="s">
        <v>219</v>
      </c>
      <c r="T3" s="38" t="s">
        <v>220</v>
      </c>
      <c r="U3" s="38" t="s">
        <v>221</v>
      </c>
    </row>
    <row r="4" spans="1:21" ht="216" customHeight="1" x14ac:dyDescent="0.2">
      <c r="A4" s="19">
        <v>3</v>
      </c>
      <c r="B4" s="42" t="s">
        <v>202</v>
      </c>
      <c r="C4" s="19" t="s">
        <v>222</v>
      </c>
      <c r="D4" s="19" t="s">
        <v>223</v>
      </c>
      <c r="E4" s="19" t="s">
        <v>224</v>
      </c>
      <c r="F4" s="19" t="s">
        <v>225</v>
      </c>
      <c r="G4" s="19">
        <v>9</v>
      </c>
      <c r="H4" s="19">
        <v>8</v>
      </c>
      <c r="I4" s="17">
        <f t="shared" si="0"/>
        <v>72</v>
      </c>
      <c r="J4" s="18" t="s">
        <v>207</v>
      </c>
      <c r="K4" s="19" t="s">
        <v>226</v>
      </c>
      <c r="L4" s="19" t="s">
        <v>227</v>
      </c>
      <c r="M4" s="19" t="s">
        <v>210</v>
      </c>
      <c r="O4" s="27" t="s">
        <v>228</v>
      </c>
      <c r="P4" s="8"/>
      <c r="Q4" s="8"/>
      <c r="R4" s="9"/>
      <c r="S4" s="39" t="s">
        <v>229</v>
      </c>
      <c r="T4" s="39" t="s">
        <v>230</v>
      </c>
      <c r="U4" s="11" t="s">
        <v>231</v>
      </c>
    </row>
    <row r="5" spans="1:21" ht="93" customHeight="1" x14ac:dyDescent="0.2">
      <c r="A5" s="19">
        <v>4</v>
      </c>
      <c r="B5" s="42">
        <v>46088</v>
      </c>
      <c r="C5" s="19" t="s">
        <v>232</v>
      </c>
      <c r="D5" s="19" t="s">
        <v>233</v>
      </c>
      <c r="E5" s="19" t="s">
        <v>234</v>
      </c>
      <c r="F5" s="19" t="s">
        <v>206</v>
      </c>
      <c r="G5" s="19">
        <v>5</v>
      </c>
      <c r="H5" s="19">
        <v>6</v>
      </c>
      <c r="I5" s="17">
        <f t="shared" si="0"/>
        <v>30</v>
      </c>
      <c r="J5" s="18" t="s">
        <v>235</v>
      </c>
      <c r="K5" s="19" t="s">
        <v>236</v>
      </c>
      <c r="L5" s="19" t="s">
        <v>237</v>
      </c>
      <c r="M5" s="19" t="s">
        <v>210</v>
      </c>
      <c r="O5" s="27" t="s">
        <v>238</v>
      </c>
      <c r="P5" s="8"/>
      <c r="Q5" s="40" t="s">
        <v>239</v>
      </c>
      <c r="R5" s="40" t="s">
        <v>240</v>
      </c>
      <c r="S5" s="40"/>
      <c r="T5" s="12" t="s">
        <v>241</v>
      </c>
      <c r="U5" s="9"/>
    </row>
    <row r="6" spans="1:21" ht="62" customHeight="1" x14ac:dyDescent="0.2">
      <c r="A6" s="19">
        <v>5</v>
      </c>
      <c r="B6" s="42">
        <v>46088</v>
      </c>
      <c r="C6" s="19" t="s">
        <v>242</v>
      </c>
      <c r="D6" s="19" t="s">
        <v>243</v>
      </c>
      <c r="E6" s="19" t="s">
        <v>244</v>
      </c>
      <c r="F6" s="19" t="s">
        <v>141</v>
      </c>
      <c r="G6" s="19">
        <v>5</v>
      </c>
      <c r="H6" s="19">
        <v>8</v>
      </c>
      <c r="I6" s="17">
        <f t="shared" si="0"/>
        <v>40</v>
      </c>
      <c r="J6" s="18" t="s">
        <v>235</v>
      </c>
      <c r="K6" s="19" t="s">
        <v>245</v>
      </c>
      <c r="L6" s="19" t="s">
        <v>246</v>
      </c>
      <c r="M6" s="19" t="s">
        <v>210</v>
      </c>
      <c r="O6" s="27" t="s">
        <v>247</v>
      </c>
      <c r="P6" s="8"/>
      <c r="Q6" s="8"/>
      <c r="R6" s="8"/>
      <c r="S6" s="8"/>
      <c r="T6" s="8"/>
      <c r="U6" s="8"/>
    </row>
    <row r="7" spans="1:21" ht="62" customHeight="1" x14ac:dyDescent="0.2">
      <c r="A7" s="19">
        <v>6</v>
      </c>
      <c r="B7" s="42">
        <v>46088</v>
      </c>
      <c r="C7" s="19" t="s">
        <v>248</v>
      </c>
      <c r="D7" s="19" t="s">
        <v>249</v>
      </c>
      <c r="E7" s="19" t="s">
        <v>250</v>
      </c>
      <c r="F7" s="19" t="s">
        <v>142</v>
      </c>
      <c r="G7" s="19">
        <v>5</v>
      </c>
      <c r="H7" s="19">
        <v>6</v>
      </c>
      <c r="I7" s="17">
        <f t="shared" si="0"/>
        <v>30</v>
      </c>
      <c r="J7" s="18" t="s">
        <v>235</v>
      </c>
      <c r="K7" s="19" t="s">
        <v>251</v>
      </c>
      <c r="L7" s="19" t="s">
        <v>252</v>
      </c>
      <c r="M7" s="19" t="s">
        <v>210</v>
      </c>
      <c r="O7" s="28"/>
    </row>
    <row r="8" spans="1:21" ht="62" customHeight="1" x14ac:dyDescent="0.2">
      <c r="A8" s="19">
        <v>7</v>
      </c>
      <c r="B8" s="42">
        <v>46088</v>
      </c>
      <c r="C8" s="19" t="s">
        <v>253</v>
      </c>
      <c r="D8" s="19" t="s">
        <v>254</v>
      </c>
      <c r="E8" s="19" t="s">
        <v>255</v>
      </c>
      <c r="F8" s="19" t="s">
        <v>145</v>
      </c>
      <c r="G8" s="19">
        <v>5</v>
      </c>
      <c r="H8" s="19">
        <v>6</v>
      </c>
      <c r="I8" s="17">
        <f t="shared" si="0"/>
        <v>30</v>
      </c>
      <c r="J8" s="18" t="s">
        <v>235</v>
      </c>
      <c r="K8" s="19" t="s">
        <v>256</v>
      </c>
      <c r="L8" s="19" t="s">
        <v>252</v>
      </c>
      <c r="M8" s="19" t="s">
        <v>210</v>
      </c>
      <c r="O8" s="26" t="s">
        <v>257</v>
      </c>
      <c r="S8" s="2" t="s">
        <v>258</v>
      </c>
    </row>
    <row r="9" spans="1:21" ht="62" customHeight="1" x14ac:dyDescent="0.2">
      <c r="A9" s="19">
        <v>8</v>
      </c>
      <c r="B9" s="42">
        <v>46088</v>
      </c>
      <c r="C9" s="19" t="s">
        <v>259</v>
      </c>
      <c r="D9" s="19" t="s">
        <v>260</v>
      </c>
      <c r="E9" s="19" t="s">
        <v>261</v>
      </c>
      <c r="F9" s="19" t="s">
        <v>142</v>
      </c>
      <c r="G9" s="19">
        <v>5</v>
      </c>
      <c r="H9" s="19">
        <v>6</v>
      </c>
      <c r="I9" s="17">
        <f t="shared" si="0"/>
        <v>30</v>
      </c>
      <c r="J9" s="18" t="s">
        <v>235</v>
      </c>
      <c r="K9" s="19" t="s">
        <v>262</v>
      </c>
      <c r="L9" s="19" t="s">
        <v>263</v>
      </c>
      <c r="M9" s="19" t="s">
        <v>210</v>
      </c>
      <c r="O9" s="28" t="s">
        <v>264</v>
      </c>
      <c r="S9" s="29" t="s">
        <v>265</v>
      </c>
    </row>
    <row r="10" spans="1:21" ht="62" customHeight="1" x14ac:dyDescent="0.2">
      <c r="A10" s="19">
        <v>9</v>
      </c>
      <c r="B10" s="42">
        <v>46088</v>
      </c>
      <c r="C10" s="19" t="s">
        <v>266</v>
      </c>
      <c r="D10" s="19" t="s">
        <v>267</v>
      </c>
      <c r="E10" s="19" t="s">
        <v>268</v>
      </c>
      <c r="F10" s="19" t="s">
        <v>142</v>
      </c>
      <c r="G10" s="19">
        <v>5</v>
      </c>
      <c r="H10" s="19">
        <v>6</v>
      </c>
      <c r="I10" s="17">
        <f t="shared" si="0"/>
        <v>30</v>
      </c>
      <c r="J10" s="18" t="s">
        <v>235</v>
      </c>
      <c r="K10" s="19" t="s">
        <v>269</v>
      </c>
      <c r="L10" s="19" t="s">
        <v>263</v>
      </c>
      <c r="M10" s="19" t="s">
        <v>210</v>
      </c>
      <c r="O10" s="28" t="s">
        <v>270</v>
      </c>
      <c r="S10" s="30" t="s">
        <v>271</v>
      </c>
    </row>
    <row r="11" spans="1:21" ht="62" customHeight="1" x14ac:dyDescent="0.2">
      <c r="A11" s="19">
        <v>10</v>
      </c>
      <c r="B11" s="42">
        <v>46088</v>
      </c>
      <c r="C11" s="19" t="s">
        <v>272</v>
      </c>
      <c r="D11" s="19" t="s">
        <v>273</v>
      </c>
      <c r="E11" s="19" t="s">
        <v>274</v>
      </c>
      <c r="F11" s="19" t="s">
        <v>145</v>
      </c>
      <c r="G11" s="19">
        <v>5</v>
      </c>
      <c r="H11" s="19">
        <v>6</v>
      </c>
      <c r="I11" s="17">
        <f t="shared" si="0"/>
        <v>30</v>
      </c>
      <c r="J11" s="18" t="s">
        <v>235</v>
      </c>
      <c r="K11" s="19" t="s">
        <v>275</v>
      </c>
      <c r="L11" s="19" t="s">
        <v>276</v>
      </c>
      <c r="M11" s="19" t="s">
        <v>210</v>
      </c>
      <c r="O11" s="28" t="s">
        <v>277</v>
      </c>
      <c r="S11" s="31" t="s">
        <v>278</v>
      </c>
    </row>
    <row r="12" spans="1:21" ht="62" customHeight="1" x14ac:dyDescent="0.2">
      <c r="A12" s="19">
        <v>11</v>
      </c>
      <c r="B12" s="42">
        <v>46088</v>
      </c>
      <c r="C12" s="19" t="s">
        <v>279</v>
      </c>
      <c r="D12" s="19" t="s">
        <v>280</v>
      </c>
      <c r="E12" s="19" t="s">
        <v>281</v>
      </c>
      <c r="F12" s="19" t="s">
        <v>142</v>
      </c>
      <c r="G12" s="19">
        <v>5</v>
      </c>
      <c r="H12" s="19">
        <v>6</v>
      </c>
      <c r="I12" s="17">
        <f t="shared" si="0"/>
        <v>30</v>
      </c>
      <c r="J12" s="18" t="s">
        <v>235</v>
      </c>
      <c r="K12" s="19" t="s">
        <v>282</v>
      </c>
      <c r="L12" s="19" t="s">
        <v>252</v>
      </c>
      <c r="M12" s="19" t="s">
        <v>210</v>
      </c>
      <c r="O12" s="28" t="s">
        <v>283</v>
      </c>
    </row>
    <row r="13" spans="1:21" ht="62" customHeight="1" x14ac:dyDescent="0.2">
      <c r="A13" s="19">
        <v>12</v>
      </c>
      <c r="B13" s="42">
        <v>46088</v>
      </c>
      <c r="C13" s="19" t="s">
        <v>284</v>
      </c>
      <c r="D13" s="19" t="s">
        <v>285</v>
      </c>
      <c r="E13" s="19" t="s">
        <v>286</v>
      </c>
      <c r="F13" s="19" t="s">
        <v>287</v>
      </c>
      <c r="G13" s="19">
        <v>5</v>
      </c>
      <c r="H13" s="19">
        <v>6</v>
      </c>
      <c r="I13" s="17">
        <f t="shared" si="0"/>
        <v>30</v>
      </c>
      <c r="J13" s="18" t="s">
        <v>235</v>
      </c>
      <c r="K13" s="19" t="s">
        <v>288</v>
      </c>
      <c r="L13" s="19" t="s">
        <v>289</v>
      </c>
      <c r="M13" s="19" t="s">
        <v>210</v>
      </c>
    </row>
    <row r="14" spans="1:21" ht="62" customHeight="1" x14ac:dyDescent="0.2">
      <c r="A14" s="19">
        <v>13</v>
      </c>
      <c r="B14" s="42">
        <v>46088</v>
      </c>
      <c r="C14" s="19" t="s">
        <v>290</v>
      </c>
      <c r="D14" s="19" t="s">
        <v>291</v>
      </c>
      <c r="E14" s="19" t="s">
        <v>292</v>
      </c>
      <c r="F14" s="19" t="s">
        <v>293</v>
      </c>
      <c r="G14" s="19">
        <v>7</v>
      </c>
      <c r="H14" s="19">
        <v>8</v>
      </c>
      <c r="I14" s="17">
        <f t="shared" si="0"/>
        <v>56</v>
      </c>
      <c r="J14" s="18" t="s">
        <v>207</v>
      </c>
      <c r="K14" s="19" t="s">
        <v>294</v>
      </c>
      <c r="L14" s="19" t="s">
        <v>276</v>
      </c>
      <c r="M14" s="19" t="s">
        <v>210</v>
      </c>
    </row>
    <row r="15" spans="1:21" ht="62" customHeight="1" x14ac:dyDescent="0.2">
      <c r="A15" s="19">
        <v>14</v>
      </c>
      <c r="B15" s="42">
        <v>46088</v>
      </c>
      <c r="C15" s="19" t="s">
        <v>295</v>
      </c>
      <c r="D15" s="19" t="s">
        <v>296</v>
      </c>
      <c r="E15" s="19" t="s">
        <v>297</v>
      </c>
      <c r="F15" s="19" t="s">
        <v>298</v>
      </c>
      <c r="G15" s="19">
        <v>5</v>
      </c>
      <c r="H15" s="19">
        <v>6</v>
      </c>
      <c r="I15" s="17">
        <f t="shared" si="0"/>
        <v>30</v>
      </c>
      <c r="J15" s="18" t="s">
        <v>235</v>
      </c>
      <c r="K15" s="19" t="s">
        <v>299</v>
      </c>
      <c r="L15" s="19" t="s">
        <v>300</v>
      </c>
      <c r="M15" s="19" t="s">
        <v>210</v>
      </c>
    </row>
    <row r="16" spans="1:21" ht="62" customHeight="1" x14ac:dyDescent="0.2">
      <c r="A16" s="19">
        <v>15</v>
      </c>
      <c r="B16" s="42">
        <v>46088</v>
      </c>
      <c r="C16" s="19" t="s">
        <v>301</v>
      </c>
      <c r="D16" s="19" t="s">
        <v>302</v>
      </c>
      <c r="E16" s="19" t="s">
        <v>303</v>
      </c>
      <c r="F16" s="19" t="s">
        <v>304</v>
      </c>
      <c r="G16" s="19">
        <v>7</v>
      </c>
      <c r="H16" s="19">
        <v>6</v>
      </c>
      <c r="I16" s="17">
        <f t="shared" si="0"/>
        <v>42</v>
      </c>
      <c r="J16" s="18" t="s">
        <v>235</v>
      </c>
      <c r="K16" s="19" t="s">
        <v>305</v>
      </c>
      <c r="L16" s="19" t="s">
        <v>306</v>
      </c>
      <c r="M16" s="19" t="s">
        <v>210</v>
      </c>
    </row>
    <row r="17" spans="1:13" ht="62" customHeight="1" x14ac:dyDescent="0.2">
      <c r="A17" s="19">
        <v>16</v>
      </c>
      <c r="B17" s="42">
        <v>46088</v>
      </c>
      <c r="C17" s="19" t="s">
        <v>307</v>
      </c>
      <c r="D17" s="19" t="s">
        <v>308</v>
      </c>
      <c r="E17" s="19" t="s">
        <v>309</v>
      </c>
      <c r="F17" s="19" t="s">
        <v>141</v>
      </c>
      <c r="G17" s="19">
        <v>5</v>
      </c>
      <c r="H17" s="19">
        <v>6</v>
      </c>
      <c r="I17" s="17">
        <f t="shared" si="0"/>
        <v>30</v>
      </c>
      <c r="J17" s="18" t="s">
        <v>235</v>
      </c>
      <c r="K17" s="19" t="s">
        <v>310</v>
      </c>
      <c r="L17" s="19" t="s">
        <v>246</v>
      </c>
      <c r="M17" s="19" t="s">
        <v>210</v>
      </c>
    </row>
    <row r="18" spans="1:13" ht="62" customHeight="1" x14ac:dyDescent="0.2">
      <c r="A18" s="19">
        <v>17</v>
      </c>
      <c r="B18" s="42">
        <v>46088</v>
      </c>
      <c r="C18" s="19" t="s">
        <v>311</v>
      </c>
      <c r="D18" s="19" t="s">
        <v>312</v>
      </c>
      <c r="E18" s="19" t="s">
        <v>313</v>
      </c>
      <c r="F18" s="19" t="s">
        <v>206</v>
      </c>
      <c r="G18" s="19">
        <v>7</v>
      </c>
      <c r="H18" s="19">
        <v>8</v>
      </c>
      <c r="I18" s="17">
        <f t="shared" si="0"/>
        <v>56</v>
      </c>
      <c r="J18" s="18" t="s">
        <v>207</v>
      </c>
      <c r="K18" s="19" t="s">
        <v>314</v>
      </c>
      <c r="L18" s="19" t="s">
        <v>315</v>
      </c>
      <c r="M18" s="19" t="s">
        <v>210</v>
      </c>
    </row>
    <row r="19" spans="1:13" ht="62" customHeight="1" x14ac:dyDescent="0.2">
      <c r="A19" s="19">
        <v>18</v>
      </c>
      <c r="B19" s="42">
        <v>46088</v>
      </c>
      <c r="C19" s="19" t="s">
        <v>316</v>
      </c>
      <c r="D19" s="19" t="s">
        <v>317</v>
      </c>
      <c r="E19" s="19" t="s">
        <v>318</v>
      </c>
      <c r="F19" s="19" t="s">
        <v>319</v>
      </c>
      <c r="G19" s="19">
        <v>5</v>
      </c>
      <c r="H19" s="19">
        <v>6</v>
      </c>
      <c r="I19" s="17">
        <f t="shared" si="0"/>
        <v>30</v>
      </c>
      <c r="J19" s="18" t="s">
        <v>235</v>
      </c>
      <c r="K19" s="19" t="s">
        <v>320</v>
      </c>
      <c r="L19" s="19" t="s">
        <v>315</v>
      </c>
      <c r="M19" s="19" t="s">
        <v>210</v>
      </c>
    </row>
    <row r="20" spans="1:13" ht="62" customHeight="1" x14ac:dyDescent="0.2">
      <c r="A20" s="19">
        <v>19</v>
      </c>
      <c r="B20" s="42">
        <v>46088</v>
      </c>
      <c r="C20" s="19" t="s">
        <v>321</v>
      </c>
      <c r="D20" s="19" t="s">
        <v>322</v>
      </c>
      <c r="E20" s="19" t="s">
        <v>323</v>
      </c>
      <c r="F20" s="19" t="s">
        <v>225</v>
      </c>
      <c r="G20" s="19">
        <v>7</v>
      </c>
      <c r="H20" s="19">
        <v>8</v>
      </c>
      <c r="I20" s="17">
        <f t="shared" si="0"/>
        <v>56</v>
      </c>
      <c r="J20" s="18" t="s">
        <v>207</v>
      </c>
      <c r="K20" s="19" t="s">
        <v>324</v>
      </c>
      <c r="L20" s="19" t="s">
        <v>276</v>
      </c>
      <c r="M20" s="19" t="s">
        <v>210</v>
      </c>
    </row>
    <row r="21" spans="1:13" ht="77.5" customHeight="1" x14ac:dyDescent="0.2">
      <c r="A21" s="19">
        <v>20</v>
      </c>
      <c r="B21" s="42">
        <v>46088</v>
      </c>
      <c r="C21" s="19" t="s">
        <v>325</v>
      </c>
      <c r="D21" s="19" t="s">
        <v>326</v>
      </c>
      <c r="E21" s="19" t="s">
        <v>327</v>
      </c>
      <c r="F21" s="19" t="s">
        <v>225</v>
      </c>
      <c r="G21" s="19">
        <v>7</v>
      </c>
      <c r="H21" s="19">
        <v>8</v>
      </c>
      <c r="I21" s="17">
        <f t="shared" si="0"/>
        <v>56</v>
      </c>
      <c r="J21" s="18" t="s">
        <v>207</v>
      </c>
      <c r="K21" s="19" t="s">
        <v>328</v>
      </c>
      <c r="L21" s="19" t="s">
        <v>315</v>
      </c>
      <c r="M21" s="19" t="s">
        <v>210</v>
      </c>
    </row>
    <row r="22" spans="1:13" ht="62" customHeight="1" x14ac:dyDescent="0.2">
      <c r="A22" s="19">
        <v>21</v>
      </c>
      <c r="B22" s="42">
        <v>46088</v>
      </c>
      <c r="C22" s="19" t="s">
        <v>329</v>
      </c>
      <c r="D22" s="19" t="s">
        <v>330</v>
      </c>
      <c r="E22" s="19" t="s">
        <v>331</v>
      </c>
      <c r="F22" s="19" t="s">
        <v>142</v>
      </c>
      <c r="G22" s="19">
        <v>3</v>
      </c>
      <c r="H22" s="19">
        <v>4</v>
      </c>
      <c r="I22" s="17">
        <f t="shared" si="0"/>
        <v>12</v>
      </c>
      <c r="J22" s="18" t="s">
        <v>332</v>
      </c>
      <c r="K22" s="19" t="s">
        <v>333</v>
      </c>
      <c r="L22" s="19" t="s">
        <v>334</v>
      </c>
      <c r="M22" s="19" t="s">
        <v>210</v>
      </c>
    </row>
    <row r="23" spans="1:13" ht="77.5" customHeight="1" x14ac:dyDescent="0.2">
      <c r="A23" s="19">
        <v>22</v>
      </c>
      <c r="B23" s="42">
        <v>46088</v>
      </c>
      <c r="C23" s="19" t="s">
        <v>335</v>
      </c>
      <c r="D23" s="19" t="s">
        <v>336</v>
      </c>
      <c r="E23" s="19" t="s">
        <v>337</v>
      </c>
      <c r="F23" s="19" t="s">
        <v>338</v>
      </c>
      <c r="G23" s="19">
        <v>3</v>
      </c>
      <c r="H23" s="19">
        <v>2</v>
      </c>
      <c r="I23" s="17">
        <f t="shared" si="0"/>
        <v>6</v>
      </c>
      <c r="J23" s="18" t="s">
        <v>332</v>
      </c>
      <c r="K23" s="19" t="s">
        <v>339</v>
      </c>
      <c r="L23" s="19" t="s">
        <v>315</v>
      </c>
      <c r="M23" s="19" t="s">
        <v>210</v>
      </c>
    </row>
    <row r="24" spans="1:13" ht="62" customHeight="1" x14ac:dyDescent="0.2">
      <c r="A24" s="19">
        <v>23</v>
      </c>
      <c r="B24" s="42">
        <v>46088</v>
      </c>
      <c r="C24" s="19" t="s">
        <v>340</v>
      </c>
      <c r="D24" s="19" t="s">
        <v>341</v>
      </c>
      <c r="E24" s="19" t="s">
        <v>342</v>
      </c>
      <c r="F24" s="19" t="s">
        <v>343</v>
      </c>
      <c r="G24" s="19">
        <v>5</v>
      </c>
      <c r="H24" s="19">
        <v>9</v>
      </c>
      <c r="I24" s="17">
        <f t="shared" si="0"/>
        <v>45</v>
      </c>
      <c r="J24" s="18" t="s">
        <v>207</v>
      </c>
      <c r="K24" s="19" t="s">
        <v>344</v>
      </c>
      <c r="L24" s="19" t="s">
        <v>345</v>
      </c>
      <c r="M24" s="19" t="s">
        <v>210</v>
      </c>
    </row>
    <row r="25" spans="1:13" ht="77.5" customHeight="1" x14ac:dyDescent="0.2">
      <c r="A25" s="19">
        <v>24</v>
      </c>
      <c r="B25" s="42">
        <v>46088</v>
      </c>
      <c r="C25" s="19" t="s">
        <v>346</v>
      </c>
      <c r="D25" s="19" t="s">
        <v>347</v>
      </c>
      <c r="E25" s="19" t="s">
        <v>348</v>
      </c>
      <c r="F25" s="19" t="s">
        <v>349</v>
      </c>
      <c r="G25" s="19">
        <v>5</v>
      </c>
      <c r="H25" s="19">
        <v>6</v>
      </c>
      <c r="I25" s="17">
        <f t="shared" si="0"/>
        <v>30</v>
      </c>
      <c r="J25" s="18" t="s">
        <v>235</v>
      </c>
      <c r="K25" s="19" t="s">
        <v>350</v>
      </c>
      <c r="L25" s="19" t="s">
        <v>351</v>
      </c>
      <c r="M25" s="19" t="s">
        <v>210</v>
      </c>
    </row>
    <row r="26" spans="1:13" ht="62" customHeight="1" x14ac:dyDescent="0.2">
      <c r="A26" s="19">
        <v>25</v>
      </c>
      <c r="B26" s="42">
        <v>46088</v>
      </c>
      <c r="C26" s="19" t="s">
        <v>352</v>
      </c>
      <c r="D26" s="19" t="s">
        <v>353</v>
      </c>
      <c r="E26" s="19" t="s">
        <v>354</v>
      </c>
      <c r="F26" s="19" t="s">
        <v>293</v>
      </c>
      <c r="G26" s="19">
        <v>3</v>
      </c>
      <c r="H26" s="19">
        <v>6</v>
      </c>
      <c r="I26" s="17">
        <f t="shared" si="0"/>
        <v>18</v>
      </c>
      <c r="J26" s="18" t="s">
        <v>332</v>
      </c>
      <c r="K26" s="19" t="s">
        <v>355</v>
      </c>
      <c r="L26" s="19" t="s">
        <v>356</v>
      </c>
      <c r="M26" s="19" t="s">
        <v>210</v>
      </c>
    </row>
  </sheetData>
  <autoFilter ref="A1:M26" xr:uid="{00000000-0009-0000-0000-000003000000}"/>
  <conditionalFormatting sqref="J2:J26">
    <cfRule type="expression" dxfId="2" priority="1">
      <formula>$J2="L"</formula>
    </cfRule>
    <cfRule type="expression" dxfId="1" priority="2">
      <formula>$J2="M"</formula>
    </cfRule>
    <cfRule type="expression" dxfId="0" priority="3">
      <formula>$J2="H"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abSelected="1" topLeftCell="A5" zoomScaleNormal="100" workbookViewId="0">
      <selection activeCell="G12" sqref="G12"/>
    </sheetView>
  </sheetViews>
  <sheetFormatPr baseColWidth="10" defaultColWidth="8.5" defaultRowHeight="18" x14ac:dyDescent="0.2"/>
  <cols>
    <col min="1" max="1" width="4" style="5" customWidth="1"/>
    <col min="2" max="2" width="30.5" style="5" customWidth="1"/>
    <col min="3" max="8" width="18" style="5" customWidth="1"/>
    <col min="9" max="9" width="8.5" style="5" customWidth="1"/>
    <col min="10" max="16384" width="8.5" style="5"/>
  </cols>
  <sheetData>
    <row r="1" spans="1:8" ht="18" customHeight="1" x14ac:dyDescent="0.2">
      <c r="A1" s="51" t="s">
        <v>357</v>
      </c>
      <c r="B1" s="54"/>
      <c r="C1" s="54"/>
      <c r="D1" s="54"/>
      <c r="E1" s="54"/>
      <c r="F1" s="54"/>
      <c r="G1" s="54"/>
      <c r="H1" s="54"/>
    </row>
    <row r="3" spans="1:8" ht="15" customHeight="1" x14ac:dyDescent="0.2">
      <c r="C3" s="56" t="s">
        <v>358</v>
      </c>
      <c r="D3" s="54"/>
      <c r="E3" s="54"/>
      <c r="F3" s="54"/>
      <c r="G3" s="54"/>
      <c r="H3" s="54"/>
    </row>
    <row r="4" spans="1:8" ht="36" customHeight="1" x14ac:dyDescent="0.2">
      <c r="C4" s="4" t="s">
        <v>359</v>
      </c>
      <c r="D4" s="4" t="s">
        <v>360</v>
      </c>
      <c r="E4" s="4" t="s">
        <v>361</v>
      </c>
      <c r="F4" s="4" t="s">
        <v>362</v>
      </c>
      <c r="G4" s="4" t="s">
        <v>363</v>
      </c>
      <c r="H4" s="4" t="s">
        <v>364</v>
      </c>
    </row>
    <row r="5" spans="1:8" ht="39.75" customHeight="1" x14ac:dyDescent="0.2">
      <c r="A5" s="55" t="s">
        <v>365</v>
      </c>
      <c r="B5" s="16" t="s">
        <v>211</v>
      </c>
      <c r="C5" s="32">
        <v>9</v>
      </c>
      <c r="D5" s="32">
        <v>18</v>
      </c>
      <c r="E5" s="34">
        <v>36</v>
      </c>
      <c r="F5" s="35">
        <v>54</v>
      </c>
      <c r="G5" s="36" t="s">
        <v>212</v>
      </c>
      <c r="H5" s="35">
        <v>81</v>
      </c>
    </row>
    <row r="6" spans="1:8" ht="132.75" customHeight="1" x14ac:dyDescent="0.2">
      <c r="A6" s="54"/>
      <c r="B6" s="16" t="s">
        <v>218</v>
      </c>
      <c r="C6" s="37">
        <v>7</v>
      </c>
      <c r="D6" s="32">
        <v>14</v>
      </c>
      <c r="E6" s="34">
        <v>28</v>
      </c>
      <c r="F6" s="39" t="s">
        <v>219</v>
      </c>
      <c r="G6" s="38" t="s">
        <v>220</v>
      </c>
      <c r="H6" s="33" t="s">
        <v>366</v>
      </c>
    </row>
    <row r="7" spans="1:8" ht="229.5" customHeight="1" x14ac:dyDescent="0.2">
      <c r="A7" s="54"/>
      <c r="B7" s="16" t="s">
        <v>228</v>
      </c>
      <c r="C7" s="32">
        <v>5</v>
      </c>
      <c r="D7" s="32">
        <v>10</v>
      </c>
      <c r="E7" s="34">
        <v>20</v>
      </c>
      <c r="F7" s="39" t="s">
        <v>229</v>
      </c>
      <c r="G7" s="39" t="s">
        <v>230</v>
      </c>
      <c r="H7" s="38" t="s">
        <v>231</v>
      </c>
    </row>
    <row r="8" spans="1:8" ht="39.75" customHeight="1" x14ac:dyDescent="0.2">
      <c r="A8" s="54"/>
      <c r="B8" s="16" t="s">
        <v>238</v>
      </c>
      <c r="C8" s="32">
        <v>3</v>
      </c>
      <c r="D8" s="44" t="s">
        <v>239</v>
      </c>
      <c r="E8" s="44" t="s">
        <v>240</v>
      </c>
      <c r="F8" s="44" t="s">
        <v>241</v>
      </c>
      <c r="G8" s="34">
        <v>24</v>
      </c>
      <c r="H8" s="34">
        <v>27</v>
      </c>
    </row>
    <row r="9" spans="1:8" ht="39.75" customHeight="1" x14ac:dyDescent="0.2">
      <c r="A9" s="54"/>
      <c r="B9" s="16" t="s">
        <v>247</v>
      </c>
      <c r="C9" s="32">
        <v>1</v>
      </c>
      <c r="D9" s="32">
        <v>2</v>
      </c>
      <c r="E9" s="32">
        <v>4</v>
      </c>
      <c r="F9" s="32">
        <v>6</v>
      </c>
      <c r="G9" s="32">
        <v>8</v>
      </c>
      <c r="H9" s="32">
        <v>9</v>
      </c>
    </row>
    <row r="11" spans="1:8" ht="18" customHeight="1" x14ac:dyDescent="0.2">
      <c r="B11" s="2" t="s">
        <v>367</v>
      </c>
      <c r="F11" s="2" t="s">
        <v>368</v>
      </c>
    </row>
    <row r="12" spans="1:8" x14ac:dyDescent="0.2">
      <c r="B12" s="13" t="s">
        <v>369</v>
      </c>
      <c r="F12" s="3" t="s">
        <v>370</v>
      </c>
    </row>
    <row r="13" spans="1:8" x14ac:dyDescent="0.2">
      <c r="B13" s="14" t="s">
        <v>371</v>
      </c>
      <c r="F13" s="3" t="s">
        <v>372</v>
      </c>
    </row>
    <row r="14" spans="1:8" x14ac:dyDescent="0.2">
      <c r="B14" s="15" t="s">
        <v>373</v>
      </c>
      <c r="F14" s="3" t="s">
        <v>374</v>
      </c>
    </row>
    <row r="15" spans="1:8" x14ac:dyDescent="0.2">
      <c r="F15" s="5" t="s">
        <v>375</v>
      </c>
    </row>
    <row r="16" spans="1:8" ht="18" customHeight="1" x14ac:dyDescent="0.2">
      <c r="B16" s="2" t="s">
        <v>257</v>
      </c>
      <c r="F16" s="5" t="s">
        <v>376</v>
      </c>
    </row>
    <row r="17" spans="2:6" ht="15" customHeight="1" x14ac:dyDescent="0.2">
      <c r="B17" s="3" t="s">
        <v>377</v>
      </c>
      <c r="F17" s="5" t="s">
        <v>378</v>
      </c>
    </row>
    <row r="18" spans="2:6" x14ac:dyDescent="0.2">
      <c r="F18" s="5" t="s">
        <v>379</v>
      </c>
    </row>
    <row r="19" spans="2:6" x14ac:dyDescent="0.2">
      <c r="F19" s="5" t="s">
        <v>380</v>
      </c>
    </row>
    <row r="20" spans="2:6" x14ac:dyDescent="0.2">
      <c r="F20" s="5" t="s">
        <v>381</v>
      </c>
    </row>
    <row r="21" spans="2:6" x14ac:dyDescent="0.2">
      <c r="F21" s="5" t="s">
        <v>382</v>
      </c>
    </row>
    <row r="22" spans="2:6" x14ac:dyDescent="0.2">
      <c r="F22" s="5" t="s">
        <v>383</v>
      </c>
    </row>
    <row r="23" spans="2:6" x14ac:dyDescent="0.2">
      <c r="F23" s="5" t="s">
        <v>384</v>
      </c>
    </row>
    <row r="24" spans="2:6" x14ac:dyDescent="0.2">
      <c r="F24" s="5" t="s">
        <v>385</v>
      </c>
    </row>
    <row r="25" spans="2:6" x14ac:dyDescent="0.2">
      <c r="F25" s="5" t="s">
        <v>386</v>
      </c>
    </row>
    <row r="26" spans="2:6" x14ac:dyDescent="0.2">
      <c r="F26" s="5" t="s">
        <v>387</v>
      </c>
    </row>
    <row r="27" spans="2:6" x14ac:dyDescent="0.2">
      <c r="F27" s="5" t="s">
        <v>388</v>
      </c>
    </row>
    <row r="28" spans="2:6" x14ac:dyDescent="0.2">
      <c r="F28" s="5" t="s">
        <v>389</v>
      </c>
    </row>
    <row r="29" spans="2:6" x14ac:dyDescent="0.2">
      <c r="F29" s="5" t="s">
        <v>390</v>
      </c>
    </row>
    <row r="30" spans="2:6" x14ac:dyDescent="0.2">
      <c r="F30" s="5" t="s">
        <v>391</v>
      </c>
    </row>
    <row r="31" spans="2:6" x14ac:dyDescent="0.2">
      <c r="F31" s="5" t="s">
        <v>392</v>
      </c>
    </row>
    <row r="32" spans="2:6" x14ac:dyDescent="0.2">
      <c r="F32" s="5" t="s">
        <v>393</v>
      </c>
    </row>
    <row r="33" spans="6:6" x14ac:dyDescent="0.2">
      <c r="F33" s="5" t="s">
        <v>394</v>
      </c>
    </row>
    <row r="34" spans="6:6" x14ac:dyDescent="0.2">
      <c r="F34" s="5" t="s">
        <v>395</v>
      </c>
    </row>
    <row r="35" spans="6:6" x14ac:dyDescent="0.2">
      <c r="F35" s="5" t="s">
        <v>396</v>
      </c>
    </row>
    <row r="36" spans="6:6" x14ac:dyDescent="0.2">
      <c r="F36" s="5" t="s">
        <v>397</v>
      </c>
    </row>
  </sheetData>
  <mergeCells count="3">
    <mergeCell ref="A5:A9"/>
    <mergeCell ref="A1:H1"/>
    <mergeCell ref="C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 Statement</vt:lpstr>
      <vt:lpstr>KRI Framework</vt:lpstr>
      <vt:lpstr>RiskCalculationSheet</vt:lpstr>
      <vt:lpstr>RiskRegister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 Dass</cp:lastModifiedBy>
  <cp:revision>0</cp:revision>
  <dcterms:created xsi:type="dcterms:W3CDTF">2026-03-02T06:23:39Z</dcterms:created>
  <dcterms:modified xsi:type="dcterms:W3CDTF">2026-03-12T01:17:11Z</dcterms:modified>
  <dc:language>en-US</dc:language>
</cp:coreProperties>
</file>